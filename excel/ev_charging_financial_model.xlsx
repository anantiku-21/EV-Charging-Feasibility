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Scenarios" sheetId="3" state="visible" r:id="rId3"/>
    <sheet name="Sensitivity" sheetId="4" state="visible" r:id="rId4"/>
    <sheet name="Checks" sheetId="5" state="visible" r:id="rId5"/>
    <sheet name="DEL_Cons" sheetId="6" state="visible" r:id="rId6"/>
    <sheet name="DEL_Base" sheetId="7" state="visible" r:id="rId7"/>
    <sheet name="DEL_Aggr" sheetId="8" state="visible" r:id="rId8"/>
    <sheet name="HYD_Cons" sheetId="9" state="visible" r:id="rId9"/>
    <sheet name="HYD_Base" sheetId="10" state="visible" r:id="rId10"/>
    <sheet name="HYD_Agg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"/>
    <numFmt numFmtId="166" formatCode="0.0"/>
    <numFmt numFmtId="167" formatCode="#,##0.0;(#,##0.0);&quot;-&quot;"/>
    <numFmt numFmtId="168" formatCode="#,##0.00;(#,##0.00);&quot;-&quot;"/>
    <numFmt numFmtId="169" formatCode="0.0%;(0.0%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i val="1"/>
      <color rgb="00595959"/>
    </font>
    <font>
      <name val="Arial"/>
      <sz val="9"/>
    </font>
    <font>
      <name val="Arial"/>
      <color rgb="00008000"/>
    </font>
    <font>
      <name val="Arial"/>
      <b val="1"/>
      <sz val="16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7" fillId="0" borderId="0" pivotButton="0" quotePrefix="0" xfId="0"/>
    <xf numFmtId="169" fontId="7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164" fontId="4" fillId="0" borderId="0" pivotButton="0" quotePrefix="0" xfId="0"/>
    <xf numFmtId="0" fontId="6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9" fontId="4" fillId="0" borderId="0" pivotButton="0" quotePrefix="0" xfId="0"/>
    <xf numFmtId="167" fontId="4" fillId="0" borderId="0" pivotButton="0" quotePrefix="0" xfId="0"/>
    <xf numFmtId="0" fontId="7" fillId="0" borderId="0" pivotButton="0" quotePrefix="0" xfId="0"/>
    <xf numFmtId="1" fontId="3" fillId="0" borderId="0" pivotButton="0" quotePrefix="0" xfId="0"/>
    <xf numFmtId="166" fontId="3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" fillId="3" borderId="0" applyAlignment="1" pivotButton="0" quotePrefix="0" xfId="0">
      <alignment horizontal="center"/>
    </xf>
    <xf numFmtId="164" fontId="9" fillId="0" borderId="0" pivotButton="0" quotePrefix="0" xfId="0"/>
    <xf numFmtId="164" fontId="2" fillId="2" borderId="0" pivotButton="0" quotePrefix="0" xfId="0"/>
    <xf numFmtId="169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EV Charging Station Feasibility - Delhi vs Hyderabad</t>
        </is>
      </c>
      <c r="B1" s="2" t="n"/>
    </row>
    <row r="2">
      <c r="A2" s="3" t="inlineStr">
        <is>
          <t>Portfolio feasibility study for a hypothetical charge-point operator. Not a real client engagement.</t>
        </is>
      </c>
      <c r="B2" s="2" t="n"/>
    </row>
    <row r="3">
      <c r="A3" s="2" t="n"/>
      <c r="B3" s="2" t="n"/>
    </row>
    <row r="4">
      <c r="A4" s="4" t="inlineStr">
        <is>
          <t>Decision question</t>
        </is>
      </c>
      <c r="B4" s="2" t="n"/>
    </row>
    <row r="5">
      <c r="A5" s="2" t="inlineStr">
        <is>
          <t>Should a CPO invest in one public EV charging station (rented site, 10 years) in Delhi, Hyderabad, both or neither - and under what conditions?</t>
        </is>
      </c>
      <c r="B5" s="2" t="n"/>
    </row>
    <row r="6">
      <c r="A6" s="2" t="n"/>
      <c r="B6" s="2" t="n"/>
    </row>
    <row r="7">
      <c r="A7" s="4" t="inlineStr">
        <is>
          <t>Key outputs (base case, live links)</t>
        </is>
      </c>
      <c r="B7" s="2" t="n"/>
    </row>
    <row r="8">
      <c r="A8" s="5" t="inlineStr">
        <is>
          <t>Delhi NPV (Rs)</t>
        </is>
      </c>
      <c r="B8" s="6">
        <f>Scenarios!C10</f>
        <v/>
      </c>
    </row>
    <row r="9">
      <c r="A9" s="5" t="inlineStr">
        <is>
          <t>Delhi IRR</t>
        </is>
      </c>
      <c r="B9" s="7">
        <f>Scenarios!C11</f>
        <v/>
      </c>
    </row>
    <row r="10">
      <c r="A10" s="5" t="inlineStr">
        <is>
          <t>Hyderabad NPV (Rs)</t>
        </is>
      </c>
      <c r="B10" s="6">
        <f>Scenarios!F10</f>
        <v/>
      </c>
    </row>
    <row r="11">
      <c r="A11" s="5" t="inlineStr">
        <is>
          <t>Hyderabad IRR</t>
        </is>
      </c>
      <c r="B11" s="7">
        <f>Scenarios!F11</f>
        <v/>
      </c>
    </row>
    <row r="12">
      <c r="A12" s="5" t="inlineStr">
        <is>
          <t>Delhi year-1 utilisation</t>
        </is>
      </c>
      <c r="B12" s="7">
        <f>Scenarios!C4</f>
        <v/>
      </c>
    </row>
    <row r="13">
      <c r="A13" s="5" t="inlineStr">
        <is>
          <t>Hyderabad year-1 utilisation</t>
        </is>
      </c>
      <c r="B13" s="7">
        <f>Scenarios!F4</f>
        <v/>
      </c>
    </row>
    <row r="14">
      <c r="A14" s="2" t="n"/>
      <c r="B14" s="2" t="n"/>
    </row>
    <row r="15">
      <c r="A15" s="4" t="inlineStr">
        <is>
          <t>How to use</t>
        </is>
      </c>
      <c r="B15" s="2" t="n"/>
    </row>
    <row r="16">
      <c r="A16" s="5" t="inlineStr">
        <is>
          <t>Blue cells = inputs (change on the Inputs sheet only). Black = formulas. Green = links between sheets. Yellow = key levers.</t>
        </is>
      </c>
      <c r="B16" s="2" t="n"/>
    </row>
    <row r="17">
      <c r="A17" s="5" t="inlineStr">
        <is>
          <t>Six model sheets: DEL_/HYD_ x Cons/Base/Aggr. Each is the same formula layout reading its own scenario column.</t>
        </is>
      </c>
      <c r="B17" s="2" t="n"/>
    </row>
    <row r="18">
      <c r="A18" s="5" t="inlineStr">
        <is>
          <t>Levers on Inputs (grid work factor, staff override, host share override) reproduce the 'what would it take' case.</t>
        </is>
      </c>
      <c r="B18" s="2" t="n"/>
    </row>
    <row r="19">
      <c r="A19" s="5" t="inlineStr">
        <is>
          <t>Checks sheet must show ALL CHECKS PASS = TRUE.</t>
        </is>
      </c>
      <c r="B19" s="2" t="n"/>
    </row>
    <row r="20">
      <c r="A20" s="5" t="inlineStr">
        <is>
          <t>Sources for every number: docs/source_register.md in the repository.</t>
        </is>
      </c>
      <c r="B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70" customWidth="1" min="10" max="10"/>
    <col width="50" customWidth="1" min="11" max="11"/>
  </cols>
  <sheetData>
    <row r="1">
      <c r="A1" s="8" t="inlineStr">
        <is>
          <t>INPUTS - every assumption used by the model (blue = input you can change)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CONTROLS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5" t="inlineStr">
        <is>
          <t>Charger configuration (A / B / C)</t>
        </is>
      </c>
      <c r="B4" s="2" t="n"/>
      <c r="C4" s="9" t="inlineStr">
        <is>
          <t>A</t>
        </is>
      </c>
      <c r="D4" s="2" t="n"/>
      <c r="E4" s="2" t="n"/>
      <c r="F4" s="2" t="n"/>
      <c r="G4" s="2" t="n"/>
      <c r="H4" s="2" t="n"/>
      <c r="I4" s="2" t="n"/>
      <c r="J4" s="2" t="n"/>
      <c r="K4" s="3" t="inlineStr">
        <is>
          <t>A = lean, B = balanced, C = fleet hub; A has the highest NPV in both cities</t>
        </is>
      </c>
    </row>
    <row r="5">
      <c r="A5" s="5" t="inlineStr">
        <is>
          <t>Demand factor</t>
        </is>
      </c>
      <c r="B5" s="2" t="n"/>
      <c r="C5" s="9" t="n">
        <v>1</v>
      </c>
      <c r="D5" s="2" t="n"/>
      <c r="E5" s="2" t="n"/>
      <c r="F5" s="2" t="n"/>
      <c r="G5" s="2" t="n"/>
      <c r="H5" s="2" t="n"/>
      <c r="I5" s="2" t="n"/>
      <c r="J5" s="2" t="n"/>
      <c r="K5" s="3" t="inlineStr">
        <is>
          <t>Multiply demand (1 = as per scenario)</t>
        </is>
      </c>
    </row>
    <row r="6">
      <c r="A6" s="5" t="inlineStr">
        <is>
          <t>Price factor</t>
        </is>
      </c>
      <c r="B6" s="2" t="n"/>
      <c r="C6" s="9" t="n">
        <v>1</v>
      </c>
      <c r="D6" s="2" t="n"/>
      <c r="E6" s="2" t="n"/>
      <c r="F6" s="2" t="n"/>
      <c r="G6" s="2" t="n"/>
      <c r="H6" s="2" t="n"/>
      <c r="I6" s="2" t="n"/>
      <c r="J6" s="2" t="n"/>
      <c r="K6" s="3" t="inlineStr">
        <is>
          <t>Multiply charging price (1 = as per scenario)</t>
        </is>
      </c>
    </row>
    <row r="7">
      <c r="A7" s="5" t="inlineStr">
        <is>
          <t>Electricity cost factor</t>
        </is>
      </c>
      <c r="B7" s="2" t="n"/>
      <c r="C7" s="9" t="n">
        <v>1</v>
      </c>
      <c r="D7" s="2" t="n"/>
      <c r="E7" s="2" t="n"/>
      <c r="F7" s="2" t="n"/>
      <c r="G7" s="2" t="n"/>
      <c r="H7" s="2" t="n"/>
      <c r="I7" s="2" t="n"/>
      <c r="J7" s="2" t="n"/>
      <c r="K7" s="3" t="inlineStr">
        <is>
          <t>Multiply electricity tariff</t>
        </is>
      </c>
    </row>
    <row r="8">
      <c r="A8" s="5" t="inlineStr">
        <is>
          <t>CAPEX factor</t>
        </is>
      </c>
      <c r="B8" s="2" t="n"/>
      <c r="C8" s="9" t="n">
        <v>1</v>
      </c>
      <c r="D8" s="2" t="n"/>
      <c r="E8" s="2" t="n"/>
      <c r="F8" s="2" t="n"/>
      <c r="G8" s="2" t="n"/>
      <c r="H8" s="2" t="n"/>
      <c r="I8" s="2" t="n"/>
      <c r="J8" s="2" t="n"/>
      <c r="K8" s="3" t="inlineStr">
        <is>
          <t>Multiply equipment + civil + grid CAPEX</t>
        </is>
      </c>
    </row>
    <row r="9">
      <c r="A9" s="5" t="inlineStr">
        <is>
          <t>Grid work factor (1 = new connection, 0 = host's spare capacity)</t>
        </is>
      </c>
      <c r="B9" s="2" t="n"/>
      <c r="C9" s="9" t="n">
        <v>1</v>
      </c>
      <c r="D9" s="2" t="n"/>
      <c r="E9" s="2" t="n"/>
      <c r="F9" s="2" t="n"/>
      <c r="G9" s="2" t="n"/>
      <c r="H9" s="2" t="n"/>
      <c r="I9" s="2" t="n"/>
      <c r="J9" s="2" t="n"/>
      <c r="K9" s="3" t="inlineStr">
        <is>
          <t>Lever: host site already has spare grid capacity</t>
        </is>
      </c>
    </row>
    <row r="10">
      <c r="A10" s="5" t="inlineStr">
        <is>
          <t>Staff FTE override (blank = scenario value)</t>
        </is>
      </c>
      <c r="B10" s="2" t="n"/>
      <c r="C10" s="9" t="n"/>
      <c r="D10" s="2" t="n"/>
      <c r="E10" s="2" t="n"/>
      <c r="F10" s="2" t="n"/>
      <c r="G10" s="2" t="n"/>
      <c r="H10" s="2" t="n"/>
      <c r="I10" s="2" t="n"/>
      <c r="J10" s="2" t="n"/>
      <c r="K10" s="3" t="inlineStr">
        <is>
          <t>Lever: 0 = unmanned remote-monitored</t>
        </is>
      </c>
    </row>
    <row r="11">
      <c r="A11" s="5" t="inlineStr">
        <is>
          <t>Host revenue share override (blank = scenario value)</t>
        </is>
      </c>
      <c r="B11" s="2" t="n"/>
      <c r="C11" s="9" t="n"/>
      <c r="D11" s="2" t="n"/>
      <c r="E11" s="2" t="n"/>
      <c r="F11" s="2" t="n"/>
      <c r="G11" s="2" t="n"/>
      <c r="H11" s="2" t="n"/>
      <c r="I11" s="2" t="n"/>
      <c r="J11" s="2" t="n"/>
      <c r="K11" s="3" t="inlineStr">
        <is>
          <t>Lever: negotiated share</t>
        </is>
      </c>
    </row>
    <row r="12">
      <c r="A12" s="5" t="inlineStr">
        <is>
          <t>Discount rate override (blank = CAPM)</t>
        </is>
      </c>
      <c r="B12" s="2" t="n"/>
      <c r="C12" s="9" t="n"/>
      <c r="D12" s="2" t="n"/>
      <c r="E12" s="2" t="n"/>
      <c r="F12" s="2" t="n"/>
      <c r="G12" s="2" t="n"/>
      <c r="H12" s="2" t="n"/>
      <c r="I12" s="2" t="n"/>
      <c r="J12" s="2" t="n"/>
      <c r="K12" s="3" t="inlineStr">
        <is>
          <t>Tested 12%-16%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10" t="inlineStr">
        <is>
          <t>Parameter</t>
        </is>
      </c>
      <c r="B14" s="10" t="inlineStr">
        <is>
          <t>Unit</t>
        </is>
      </c>
      <c r="C14" s="10" t="inlineStr">
        <is>
          <t>Delhi Cons</t>
        </is>
      </c>
      <c r="D14" s="10" t="inlineStr">
        <is>
          <t>Delhi Base</t>
        </is>
      </c>
      <c r="E14" s="10" t="inlineStr">
        <is>
          <t>Delhi Aggr</t>
        </is>
      </c>
      <c r="F14" s="10" t="inlineStr">
        <is>
          <t>Hyd Cons</t>
        </is>
      </c>
      <c r="G14" s="10" t="inlineStr">
        <is>
          <t>Hyd Base</t>
        </is>
      </c>
      <c r="H14" s="10" t="inlineStr">
        <is>
          <t>Hyd Aggr</t>
        </is>
      </c>
      <c r="I14" s="10" t="inlineStr">
        <is>
          <t>Label</t>
        </is>
      </c>
      <c r="J14" s="10" t="inlineStr">
        <is>
          <t>Source / rationale</t>
        </is>
      </c>
      <c r="K14" s="2" t="n"/>
    </row>
    <row r="15">
      <c r="A15" s="5" t="inlineStr">
        <is>
          <t>public_demand_kwh_per_day</t>
        </is>
      </c>
      <c r="B15" s="5" t="inlineStr">
        <is>
          <t>kWh/day</t>
        </is>
      </c>
      <c r="C15" s="11" t="n">
        <v>41641</v>
      </c>
      <c r="D15" s="11" t="n">
        <v>41641</v>
      </c>
      <c r="E15" s="11" t="n">
        <v>41641</v>
      </c>
      <c r="F15" s="11" t="n">
        <v>38471</v>
      </c>
      <c r="G15" s="11" t="n">
        <v>38471</v>
      </c>
      <c r="H15" s="11" t="n">
        <v>38471</v>
      </c>
      <c r="I15" s="5" t="inlineStr">
        <is>
          <t>DERIVED</t>
        </is>
      </c>
      <c r="J15" s="12" t="inlineStr">
        <is>
          <t>Phase 4 SAM 14,042 MWh/yr / 365 | Phase 4 SAM 15,199 MWh/yr / 365</t>
        </is>
      </c>
      <c r="K15" s="2" t="n"/>
    </row>
    <row r="16">
      <c r="A16" s="5" t="inlineStr">
        <is>
          <t>fast_stations</t>
        </is>
      </c>
      <c r="B16" s="5" t="inlineStr">
        <is>
          <t>stations</t>
        </is>
      </c>
      <c r="C16" s="13" t="n">
        <v>399</v>
      </c>
      <c r="D16" s="13" t="n">
        <v>399</v>
      </c>
      <c r="E16" s="13" t="n">
        <v>399</v>
      </c>
      <c r="F16" s="13" t="n">
        <v>373</v>
      </c>
      <c r="G16" s="13" t="n">
        <v>373</v>
      </c>
      <c r="H16" s="13" t="n">
        <v>373</v>
      </c>
      <c r="I16" s="5" t="inlineStr">
        <is>
          <t>DERIVED / FACT</t>
        </is>
      </c>
      <c r="J16" s="12" t="inlineStr">
        <is>
          <t>PIB Lok Sabha reply 16 Dec 2025 | Telangana 548 x 68% Hyderabad share (Phase 4)</t>
        </is>
      </c>
      <c r="K16" s="2" t="n"/>
    </row>
    <row r="17">
      <c r="A17" s="5" t="inlineStr">
        <is>
          <t>capture_multiple</t>
        </is>
      </c>
      <c r="B17" s="5" t="inlineStr">
        <is>
          <t>x fair share</t>
        </is>
      </c>
      <c r="C17" s="13" t="n">
        <v>0.75</v>
      </c>
      <c r="D17" s="13" t="n">
        <v>1.25</v>
      </c>
      <c r="E17" s="13" t="n">
        <v>2</v>
      </c>
      <c r="F17" s="13" t="n">
        <v>0.75</v>
      </c>
      <c r="G17" s="13" t="n">
        <v>1.25</v>
      </c>
      <c r="H17" s="13" t="n">
        <v>2</v>
      </c>
      <c r="I17" s="5" t="inlineStr">
        <is>
          <t>ASSUMPTION</t>
        </is>
      </c>
      <c r="J17" s="12" t="inlineStr">
        <is>
          <t>1.0 = average existing station. Base 1.25 for a well-chosen, reliable site (many rivals seen faulted, Phase 5); 2.0 = hub-quality site</t>
        </is>
      </c>
      <c r="K17" s="2" t="n"/>
    </row>
    <row r="18">
      <c r="A18" s="5" t="inlineStr">
        <is>
          <t>year1_ramp</t>
        </is>
      </c>
      <c r="B18" s="5" t="inlineStr">
        <is>
          <t>share of steady demand</t>
        </is>
      </c>
      <c r="C18" s="13" t="n">
        <v>0.6</v>
      </c>
      <c r="D18" s="13" t="n">
        <v>0.7</v>
      </c>
      <c r="E18" s="13" t="n">
        <v>0.8</v>
      </c>
      <c r="F18" s="13" t="n">
        <v>0.6</v>
      </c>
      <c r="G18" s="13" t="n">
        <v>0.7</v>
      </c>
      <c r="H18" s="13" t="n">
        <v>0.8</v>
      </c>
      <c r="I18" s="5" t="inlineStr">
        <is>
          <t>ASSUMPTION</t>
        </is>
      </c>
      <c r="J18" s="12" t="inlineStr">
        <is>
          <t>New stations take time to be discovered by drivers and apps</t>
        </is>
      </c>
      <c r="K18" s="2" t="n"/>
    </row>
    <row r="19">
      <c r="A19" s="5" t="inlineStr">
        <is>
          <t>demand_growth_per_station</t>
        </is>
      </c>
      <c r="B19" s="5" t="inlineStr">
        <is>
          <t>per year</t>
        </is>
      </c>
      <c r="C19" s="14" t="n">
        <v>0</v>
      </c>
      <c r="D19" s="14" t="n">
        <v>0.07000000000000001</v>
      </c>
      <c r="E19" s="14" t="n">
        <v>0.12</v>
      </c>
      <c r="F19" s="14" t="n">
        <v>0</v>
      </c>
      <c r="G19" s="14" t="n">
        <v>0.07000000000000001</v>
      </c>
      <c r="H19" s="14" t="n">
        <v>0.12</v>
      </c>
      <c r="I19" s="5" t="inlineStr">
        <is>
          <t>ASSUMPTION</t>
        </is>
      </c>
      <c r="J19" s="12" t="inlineStr">
        <is>
          <t>EV stock doubling (Phase 4) but charger supply also surging (Delhi 16k points by end-2026; TGREDCO 200 stations), so per-station growth is modest</t>
        </is>
      </c>
      <c r="K19" s="2" t="n"/>
    </row>
    <row r="20">
      <c r="A20" s="5" t="inlineStr">
        <is>
          <t>kwh_per_session</t>
        </is>
      </c>
      <c r="B20" s="5" t="inlineStr">
        <is>
          <t>kWh</t>
        </is>
      </c>
      <c r="C20" s="13" t="n">
        <v>20</v>
      </c>
      <c r="D20" s="13" t="n">
        <v>20</v>
      </c>
      <c r="E20" s="13" t="n">
        <v>20</v>
      </c>
      <c r="F20" s="13" t="n">
        <v>20</v>
      </c>
      <c r="G20" s="13" t="n">
        <v>20</v>
      </c>
      <c r="H20" s="13" t="n">
        <v>20</v>
      </c>
      <c r="I20" s="5" t="inlineStr">
        <is>
          <t>ASSUMPTION</t>
        </is>
      </c>
      <c r="J20" s="12" t="inlineStr">
        <is>
          <t>Cab mid-shift top-up on ~26-30 kWh batteries; converts energy to sessions only</t>
        </is>
      </c>
      <c r="K20" s="2" t="n"/>
    </row>
    <row r="21">
      <c r="A21" s="5" t="inlineStr">
        <is>
          <t>price_net_of_gst</t>
        </is>
      </c>
      <c r="B21" s="5" t="inlineStr">
        <is>
          <t>Rs/kWh</t>
        </is>
      </c>
      <c r="C21" s="13" t="n">
        <v>16.94</v>
      </c>
      <c r="D21" s="13" t="n">
        <v>18.64</v>
      </c>
      <c r="E21" s="13" t="n">
        <v>19.06</v>
      </c>
      <c r="F21" s="13" t="n">
        <v>13</v>
      </c>
      <c r="G21" s="13" t="n">
        <v>16</v>
      </c>
      <c r="H21" s="13" t="n">
        <v>18.64</v>
      </c>
      <c r="I21" s="5" t="inlineStr">
        <is>
          <t>ASSUMPTION / DERIVED</t>
        </is>
      </c>
      <c r="J21" s="12" t="inlineStr">
        <is>
          <t>Cons = match TGREDCO Rs 13 excl GST; base = discount to private Rs 21.99 to compete with govt network; aggr = private median | Observed Rs 19.99 / 21.99 / 22.49 (Phase 5), assumed to include 18% GST</t>
        </is>
      </c>
      <c r="K21" s="2" t="n"/>
    </row>
    <row r="22">
      <c r="A22" s="5" t="inlineStr">
        <is>
          <t>price_escalation</t>
        </is>
      </c>
      <c r="B22" s="5" t="inlineStr">
        <is>
          <t>per year</t>
        </is>
      </c>
      <c r="C22" s="14" t="n">
        <v>0</v>
      </c>
      <c r="D22" s="14" t="n">
        <v>0.02</v>
      </c>
      <c r="E22" s="14" t="n">
        <v>0.03</v>
      </c>
      <c r="F22" s="14" t="n">
        <v>0</v>
      </c>
      <c r="G22" s="14" t="n">
        <v>0.02</v>
      </c>
      <c r="H22" s="14" t="n">
        <v>0.03</v>
      </c>
      <c r="I22" s="5" t="inlineStr">
        <is>
          <t>ASSUMPTION</t>
        </is>
      </c>
      <c r="J22" s="12" t="inlineStr">
        <is>
          <t>Cons 0% because TGREDCO price is fixed for 10 years | Prices have been flat; modest pass-through of tariff increases</t>
        </is>
      </c>
      <c r="K22" s="2" t="n"/>
    </row>
    <row r="23">
      <c r="A23" s="5" t="inlineStr">
        <is>
          <t>electricity_rs_per_kwh</t>
        </is>
      </c>
      <c r="B23" s="5" t="inlineStr">
        <is>
          <t>Rs/kWh</t>
        </is>
      </c>
      <c r="C23" s="13" t="n">
        <v>6</v>
      </c>
      <c r="D23" s="13" t="n">
        <v>5.5</v>
      </c>
      <c r="E23" s="13" t="n">
        <v>4.95</v>
      </c>
      <c r="F23" s="13" t="n">
        <v>6.5</v>
      </c>
      <c r="G23" s="13" t="n">
        <v>6</v>
      </c>
      <c r="H23" s="13" t="n">
        <v>6</v>
      </c>
      <c r="I23" s="5" t="inlineStr">
        <is>
          <t>DERIVED / FACT/ASSUMPTION</t>
        </is>
      </c>
      <c r="J23" s="12" t="inlineStr">
        <is>
          <t>DERC Rs 4.50 + PPAC 16-18% + surcharges/duty (applicability to verify) | TGERC LT-IX Rs 6.00; cons +Rs 0.50 for duty/FSA (to verify)</t>
        </is>
      </c>
      <c r="K23" s="2" t="n"/>
    </row>
    <row r="24">
      <c r="A24" s="5" t="inlineStr">
        <is>
          <t>electricity_fixed_rs_per_month</t>
        </is>
      </c>
      <c r="B24" s="5" t="inlineStr">
        <is>
          <t>Rs/month</t>
        </is>
      </c>
      <c r="C24" s="13" t="n">
        <v>0</v>
      </c>
      <c r="D24" s="13" t="n">
        <v>0</v>
      </c>
      <c r="E24" s="13" t="n">
        <v>0</v>
      </c>
      <c r="F24" s="13" t="n">
        <v>120</v>
      </c>
      <c r="G24" s="13" t="n">
        <v>120</v>
      </c>
      <c r="H24" s="13" t="n">
        <v>120</v>
      </c>
      <c r="I24" s="5" t="inlineStr">
        <is>
          <t>FACT</t>
        </is>
      </c>
      <c r="J24" s="12" t="inlineStr">
        <is>
          <t>DERC EV category: no fixed charge | TGERC LT-IX customer charge (HT config handled separately)</t>
        </is>
      </c>
      <c r="K24" s="2" t="n"/>
    </row>
    <row r="25">
      <c r="A25" s="5" t="inlineStr">
        <is>
          <t>tariff_escalation</t>
        </is>
      </c>
      <c r="B25" s="5" t="inlineStr">
        <is>
          <t>per year</t>
        </is>
      </c>
      <c r="C25" s="14" t="n">
        <v>0.05</v>
      </c>
      <c r="D25" s="14" t="n">
        <v>0.03</v>
      </c>
      <c r="E25" s="14" t="n">
        <v>0.02</v>
      </c>
      <c r="F25" s="14" t="n">
        <v>0.05</v>
      </c>
      <c r="G25" s="14" t="n">
        <v>0.03</v>
      </c>
      <c r="H25" s="14" t="n">
        <v>0.02</v>
      </c>
      <c r="I25" s="5" t="inlineStr">
        <is>
          <t>ASSUMPTION</t>
        </is>
      </c>
      <c r="J25" s="12" t="inlineStr">
        <is>
          <t>Tariffs frozen in FY27 in Telangana; Delhi order unchanged since FY22; range allows catch-up</t>
        </is>
      </c>
      <c r="K25" s="2" t="n"/>
    </row>
    <row r="26">
      <c r="A26" s="5" t="inlineStr">
        <is>
          <t>grid_losses</t>
        </is>
      </c>
      <c r="B26" s="5" t="inlineStr">
        <is>
          <t>share</t>
        </is>
      </c>
      <c r="C26" s="14" t="n">
        <v>0.03</v>
      </c>
      <c r="D26" s="14" t="n">
        <v>0.03</v>
      </c>
      <c r="E26" s="14" t="n">
        <v>0.03</v>
      </c>
      <c r="F26" s="14" t="n">
        <v>0.03</v>
      </c>
      <c r="G26" s="14" t="n">
        <v>0.03</v>
      </c>
      <c r="H26" s="14" t="n">
        <v>0.03</v>
      </c>
      <c r="I26" s="5" t="inlineStr">
        <is>
          <t>ASSUMPTION</t>
        </is>
      </c>
      <c r="J26" s="12" t="inlineStr">
        <is>
          <t>Charger/cable conversion losses: energy bought = energy sold / (1 - losses)</t>
        </is>
      </c>
      <c r="K26" s="2" t="n"/>
    </row>
    <row r="27">
      <c r="A27" s="5" t="inlineStr">
        <is>
          <t>host_revenue_share</t>
        </is>
      </c>
      <c r="B27" s="5" t="inlineStr">
        <is>
          <t>share of net revenue</t>
        </is>
      </c>
      <c r="C27" s="14" t="n">
        <v>0.2</v>
      </c>
      <c r="D27" s="14" t="n">
        <v>0.15</v>
      </c>
      <c r="E27" s="14" t="n">
        <v>0.1</v>
      </c>
      <c r="F27" s="14" t="n">
        <v>0.2</v>
      </c>
      <c r="G27" s="14" t="n">
        <v>0.15</v>
      </c>
      <c r="H27" s="14" t="n">
        <v>0.1</v>
      </c>
      <c r="I27" s="5" t="inlineStr">
        <is>
          <t>ESTIMATE</t>
        </is>
      </c>
      <c r="J27" s="12" t="inlineStr">
        <is>
          <t>Bolt.Earth: hosts get 10-20% of charging revenue</t>
        </is>
      </c>
      <c r="K27" s="2" t="n"/>
    </row>
    <row r="28">
      <c r="A28" s="5" t="inlineStr">
        <is>
          <t>staff_fte</t>
        </is>
      </c>
      <c r="B28" s="5" t="inlineStr">
        <is>
          <t>FTE</t>
        </is>
      </c>
      <c r="C28" s="13" t="n">
        <v>2</v>
      </c>
      <c r="D28" s="13" t="n">
        <v>1</v>
      </c>
      <c r="E28" s="13" t="n">
        <v>0.5</v>
      </c>
      <c r="F28" s="13" t="n">
        <v>2</v>
      </c>
      <c r="G28" s="13" t="n">
        <v>1</v>
      </c>
      <c r="H28" s="13" t="n">
        <v>0.5</v>
      </c>
      <c r="I28" s="5" t="inlineStr">
        <is>
          <t>ASSUMPTION</t>
        </is>
      </c>
      <c r="J28" s="12" t="inlineStr">
        <is>
          <t>Remote-monitored station with day attendant; cons = 2 shifts; aggr = shared with host</t>
        </is>
      </c>
      <c r="K28" s="2" t="n"/>
    </row>
    <row r="29">
      <c r="A29" s="5" t="inlineStr">
        <is>
          <t>staff_cost_rs_per_month</t>
        </is>
      </c>
      <c r="B29" s="5" t="inlineStr">
        <is>
          <t>Rs/month per FTE</t>
        </is>
      </c>
      <c r="C29" s="11" t="n">
        <v>20000</v>
      </c>
      <c r="D29" s="11" t="n">
        <v>20000</v>
      </c>
      <c r="E29" s="11" t="n">
        <v>20000</v>
      </c>
      <c r="F29" s="11" t="n">
        <v>20000</v>
      </c>
      <c r="G29" s="11" t="n">
        <v>20000</v>
      </c>
      <c r="H29" s="11" t="n">
        <v>20000</v>
      </c>
      <c r="I29" s="5" t="inlineStr">
        <is>
          <t>ASSUMPTION</t>
        </is>
      </c>
      <c r="J29" s="12" t="inlineStr">
        <is>
          <t>Above Delhi unskilled minimum Rs 18,456 (Apr 2026) and Telangana Rs 11,844</t>
        </is>
      </c>
      <c r="K29" s="2" t="n"/>
    </row>
    <row r="30">
      <c r="A30" s="5" t="inlineStr">
        <is>
          <t>maintenance_pct_of_charger_capex</t>
        </is>
      </c>
      <c r="B30" s="5" t="inlineStr">
        <is>
          <t>per year</t>
        </is>
      </c>
      <c r="C30" s="14" t="n">
        <v>0.07000000000000001</v>
      </c>
      <c r="D30" s="14" t="n">
        <v>0.05</v>
      </c>
      <c r="E30" s="14" t="n">
        <v>0.04</v>
      </c>
      <c r="F30" s="14" t="n">
        <v>0.07000000000000001</v>
      </c>
      <c r="G30" s="14" t="n">
        <v>0.05</v>
      </c>
      <c r="H30" s="14" t="n">
        <v>0.04</v>
      </c>
      <c r="I30" s="5" t="inlineStr">
        <is>
          <t>ASSUMPTION</t>
        </is>
      </c>
      <c r="J30" s="12" t="inlineStr">
        <is>
          <t>Annual maintenance contract; no sourced benchmark</t>
        </is>
      </c>
      <c r="K30" s="2" t="n"/>
    </row>
    <row r="31">
      <c r="A31" s="5" t="inlineStr">
        <is>
          <t>cms_rs_per_charger_month</t>
        </is>
      </c>
      <c r="B31" s="5" t="inlineStr">
        <is>
          <t>Rs/charger/month</t>
        </is>
      </c>
      <c r="C31" s="11" t="n">
        <v>1500</v>
      </c>
      <c r="D31" s="11" t="n">
        <v>1500</v>
      </c>
      <c r="E31" s="11" t="n">
        <v>1500</v>
      </c>
      <c r="F31" s="11" t="n">
        <v>1500</v>
      </c>
      <c r="G31" s="11" t="n">
        <v>1500</v>
      </c>
      <c r="H31" s="11" t="n">
        <v>1500</v>
      </c>
      <c r="I31" s="5" t="inlineStr">
        <is>
          <t>ASSUMPTION</t>
        </is>
      </c>
      <c r="J31" s="12" t="inlineStr">
        <is>
          <t>Charge-management software / network fee</t>
        </is>
      </c>
      <c r="K31" s="2" t="n"/>
    </row>
    <row r="32">
      <c r="A32" s="5" t="inlineStr">
        <is>
          <t>payment_fee_share</t>
        </is>
      </c>
      <c r="B32" s="5" t="inlineStr">
        <is>
          <t>share of revenue</t>
        </is>
      </c>
      <c r="C32" s="14" t="n">
        <v>0.02</v>
      </c>
      <c r="D32" s="14" t="n">
        <v>0.015</v>
      </c>
      <c r="E32" s="14" t="n">
        <v>0.01</v>
      </c>
      <c r="F32" s="14" t="n">
        <v>0.02</v>
      </c>
      <c r="G32" s="14" t="n">
        <v>0.015</v>
      </c>
      <c r="H32" s="14" t="n">
        <v>0.01</v>
      </c>
      <c r="I32" s="5" t="inlineStr">
        <is>
          <t>ASSUMPTION</t>
        </is>
      </c>
      <c r="J32" s="12" t="inlineStr">
        <is>
          <t>UPI near-zero, cards ~2%</t>
        </is>
      </c>
      <c r="K32" s="2" t="n"/>
    </row>
    <row r="33">
      <c r="A33" s="5" t="inlineStr">
        <is>
          <t>insurance_pct_of_capex</t>
        </is>
      </c>
      <c r="B33" s="5" t="inlineStr">
        <is>
          <t>per year</t>
        </is>
      </c>
      <c r="C33" s="14" t="n">
        <v>0.005</v>
      </c>
      <c r="D33" s="14" t="n">
        <v>0.005</v>
      </c>
      <c r="E33" s="14" t="n">
        <v>0.005</v>
      </c>
      <c r="F33" s="14" t="n">
        <v>0.005</v>
      </c>
      <c r="G33" s="14" t="n">
        <v>0.005</v>
      </c>
      <c r="H33" s="14" t="n">
        <v>0.005</v>
      </c>
      <c r="I33" s="5" t="inlineStr">
        <is>
          <t>ASSUMPTION</t>
        </is>
      </c>
      <c r="J33" s="12" t="inlineStr">
        <is>
          <t>Equipment insurance</t>
        </is>
      </c>
      <c r="K33" s="2" t="n"/>
    </row>
    <row r="34">
      <c r="A34" s="5" t="inlineStr">
        <is>
          <t>misc_rs_per_month</t>
        </is>
      </c>
      <c r="B34" s="5" t="inlineStr">
        <is>
          <t>Rs/month</t>
        </is>
      </c>
      <c r="C34" s="11" t="n">
        <v>5000</v>
      </c>
      <c r="D34" s="11" t="n">
        <v>5000</v>
      </c>
      <c r="E34" s="11" t="n">
        <v>5000</v>
      </c>
      <c r="F34" s="11" t="n">
        <v>5000</v>
      </c>
      <c r="G34" s="11" t="n">
        <v>5000</v>
      </c>
      <c r="H34" s="11" t="n">
        <v>5000</v>
      </c>
      <c r="I34" s="5" t="inlineStr">
        <is>
          <t>ASSUMPTION</t>
        </is>
      </c>
      <c r="J34" s="12" t="inlineStr">
        <is>
          <t>Internet, cleaning, admin</t>
        </is>
      </c>
      <c r="K34" s="2" t="n"/>
    </row>
    <row r="35">
      <c r="A35" s="5" t="inlineStr">
        <is>
          <t>fixed_cost_inflation</t>
        </is>
      </c>
      <c r="B35" s="5" t="inlineStr">
        <is>
          <t>per year</t>
        </is>
      </c>
      <c r="C35" s="14" t="n">
        <v>0.05</v>
      </c>
      <c r="D35" s="14" t="n">
        <v>0.05</v>
      </c>
      <c r="E35" s="14" t="n">
        <v>0.05</v>
      </c>
      <c r="F35" s="14" t="n">
        <v>0.05</v>
      </c>
      <c r="G35" s="14" t="n">
        <v>0.05</v>
      </c>
      <c r="H35" s="14" t="n">
        <v>0.05</v>
      </c>
      <c r="I35" s="5" t="inlineStr">
        <is>
          <t>ASSUMPTION</t>
        </is>
      </c>
      <c r="J35" s="12" t="inlineStr">
        <is>
          <t>Wages and services inflation</t>
        </is>
      </c>
      <c r="K35" s="2" t="n"/>
    </row>
    <row r="36">
      <c r="A36" s="5" t="inlineStr">
        <is>
          <t>capex_multiplier</t>
        </is>
      </c>
      <c r="B36" s="5" t="inlineStr">
        <is>
          <t>x benchmark</t>
        </is>
      </c>
      <c r="C36" s="13" t="n">
        <v>1.15</v>
      </c>
      <c r="D36" s="13" t="n">
        <v>1</v>
      </c>
      <c r="E36" s="13" t="n">
        <v>0.9</v>
      </c>
      <c r="F36" s="13" t="n">
        <v>1.15</v>
      </c>
      <c r="G36" s="13" t="n">
        <v>1</v>
      </c>
      <c r="H36" s="13" t="n">
        <v>0.9</v>
      </c>
      <c r="I36" s="5" t="inlineStr">
        <is>
          <t>ASSUMPTION</t>
        </is>
      </c>
      <c r="J36" s="12" t="inlineStr">
        <is>
          <t>Govt benchmark prices may differ from market quotes</t>
        </is>
      </c>
      <c r="K36" s="2" t="n"/>
    </row>
    <row r="37">
      <c r="A37" s="5" t="inlineStr">
        <is>
          <t>contingency</t>
        </is>
      </c>
      <c r="B37" s="5" t="inlineStr">
        <is>
          <t>share of capex</t>
        </is>
      </c>
      <c r="C37" s="14" t="n">
        <v>0.1</v>
      </c>
      <c r="D37" s="14" t="n">
        <v>0.1</v>
      </c>
      <c r="E37" s="14" t="n">
        <v>0.1</v>
      </c>
      <c r="F37" s="14" t="n">
        <v>0.1</v>
      </c>
      <c r="G37" s="14" t="n">
        <v>0.1</v>
      </c>
      <c r="H37" s="14" t="n">
        <v>0.1</v>
      </c>
      <c r="I37" s="5" t="inlineStr">
        <is>
          <t>ASSUMPTION</t>
        </is>
      </c>
      <c r="J37" s="12" t="inlineStr">
        <is>
          <t>Standard project contingency</t>
        </is>
      </c>
      <c r="K37" s="2" t="n"/>
    </row>
    <row r="38">
      <c r="A38" s="5" t="inlineStr">
        <is>
          <t>uptime</t>
        </is>
      </c>
      <c r="B38" s="5" t="inlineStr">
        <is>
          <t>share</t>
        </is>
      </c>
      <c r="C38" s="14" t="n">
        <v>0.95</v>
      </c>
      <c r="D38" s="14" t="n">
        <v>0.95</v>
      </c>
      <c r="E38" s="14" t="n">
        <v>0.95</v>
      </c>
      <c r="F38" s="14" t="n">
        <v>0.95</v>
      </c>
      <c r="G38" s="14" t="n">
        <v>0.95</v>
      </c>
      <c r="H38" s="14" t="n">
        <v>0.95</v>
      </c>
      <c r="I38" s="5" t="inlineStr">
        <is>
          <t>FACT (benchmark)</t>
        </is>
      </c>
      <c r="J38" s="12" t="inlineStr">
        <is>
          <t>TGREDCO tender requires 95% uptime</t>
        </is>
      </c>
      <c r="K38" s="2" t="n"/>
    </row>
    <row r="39">
      <c r="A39" s="5" t="inlineStr">
        <is>
          <t>power_delivery_factor</t>
        </is>
      </c>
      <c r="B39" s="5" t="inlineStr">
        <is>
          <t>share of rated kW</t>
        </is>
      </c>
      <c r="C39" s="14" t="n">
        <v>0.7</v>
      </c>
      <c r="D39" s="14" t="n">
        <v>0.7</v>
      </c>
      <c r="E39" s="14" t="n">
        <v>0.7</v>
      </c>
      <c r="F39" s="14" t="n">
        <v>0.7</v>
      </c>
      <c r="G39" s="14" t="n">
        <v>0.7</v>
      </c>
      <c r="H39" s="14" t="n">
        <v>0.7</v>
      </c>
      <c r="I39" s="5" t="inlineStr">
        <is>
          <t>ASSUMPTION</t>
        </is>
      </c>
      <c r="J39" s="12" t="inlineStr">
        <is>
          <t>Cars draw less than rated power as battery fills (taper)</t>
        </is>
      </c>
      <c r="K39" s="2" t="n"/>
    </row>
    <row r="40">
      <c r="A40" s="5" t="inlineStr">
        <is>
          <t>max_practical_utilisation</t>
        </is>
      </c>
      <c r="B40" s="5" t="inlineStr">
        <is>
          <t>share of hours</t>
        </is>
      </c>
      <c r="C40" s="14" t="n">
        <v>0.4</v>
      </c>
      <c r="D40" s="14" t="n">
        <v>0.4</v>
      </c>
      <c r="E40" s="14" t="n">
        <v>0.4</v>
      </c>
      <c r="F40" s="14" t="n">
        <v>0.4</v>
      </c>
      <c r="G40" s="14" t="n">
        <v>0.4</v>
      </c>
      <c r="H40" s="14" t="n">
        <v>0.4</v>
      </c>
      <c r="I40" s="5" t="inlineStr">
        <is>
          <t>ASSUMPTION</t>
        </is>
      </c>
      <c r="J40" s="12" t="inlineStr">
        <is>
          <t>Above ~40% cars queue and leave; caps capacity</t>
        </is>
      </c>
      <c r="K40" s="2" t="n"/>
    </row>
    <row r="41">
      <c r="A41" s="5" t="inlineStr">
        <is>
          <t>tax_rate</t>
        </is>
      </c>
      <c r="B41" s="5" t="inlineStr">
        <is>
          <t>share</t>
        </is>
      </c>
      <c r="C41" s="14" t="n">
        <v>0.2517</v>
      </c>
      <c r="D41" s="14" t="n">
        <v>0.2517</v>
      </c>
      <c r="E41" s="14" t="n">
        <v>0.2517</v>
      </c>
      <c r="F41" s="14" t="n">
        <v>0.2517</v>
      </c>
      <c r="G41" s="14" t="n">
        <v>0.2517</v>
      </c>
      <c r="H41" s="14" t="n">
        <v>0.2517</v>
      </c>
      <c r="I41" s="5" t="inlineStr">
        <is>
          <t>FACT</t>
        </is>
      </c>
      <c r="J41" s="12" t="inlineStr">
        <is>
          <t>Sec 115BAA: 22% + 10% surcharge + 4% cess</t>
        </is>
      </c>
      <c r="K41" s="2" t="n"/>
    </row>
    <row r="42">
      <c r="A42" s="5" t="inlineStr">
        <is>
          <t>depreciation_years</t>
        </is>
      </c>
      <c r="B42" s="5" t="inlineStr">
        <is>
          <t>years</t>
        </is>
      </c>
      <c r="C42" s="13" t="n">
        <v>10</v>
      </c>
      <c r="D42" s="13" t="n">
        <v>10</v>
      </c>
      <c r="E42" s="13" t="n">
        <v>10</v>
      </c>
      <c r="F42" s="13" t="n">
        <v>10</v>
      </c>
      <c r="G42" s="13" t="n">
        <v>10</v>
      </c>
      <c r="H42" s="13" t="n">
        <v>10</v>
      </c>
      <c r="I42" s="5" t="inlineStr">
        <is>
          <t>ASSUMPTION</t>
        </is>
      </c>
      <c r="J42" s="12" t="inlineStr">
        <is>
          <t>Straight-line, no salvage (simplification of tax WDV)</t>
        </is>
      </c>
      <c r="K42" s="2" t="n"/>
    </row>
    <row r="43">
      <c r="A43" s="5" t="inlineStr">
        <is>
          <t>horizon_years</t>
        </is>
      </c>
      <c r="B43" s="5" t="inlineStr">
        <is>
          <t>years</t>
        </is>
      </c>
      <c r="C43" s="13" t="n">
        <v>10</v>
      </c>
      <c r="D43" s="13" t="n">
        <v>10</v>
      </c>
      <c r="E43" s="13" t="n">
        <v>10</v>
      </c>
      <c r="F43" s="13" t="n">
        <v>10</v>
      </c>
      <c r="G43" s="13" t="n">
        <v>10</v>
      </c>
      <c r="H43" s="13" t="n">
        <v>10</v>
      </c>
      <c r="I43" s="5" t="inlineStr">
        <is>
          <t>ASSUMPTION</t>
        </is>
      </c>
      <c r="J43" s="12" t="inlineStr">
        <is>
          <t>Charger life ~10 yrs; TGREDCO CPO contracts are 10 years</t>
        </is>
      </c>
      <c r="K43" s="2" t="n"/>
    </row>
    <row r="44">
      <c r="A44" s="5" t="inlineStr">
        <is>
          <t>risk_free_rate</t>
        </is>
      </c>
      <c r="B44" s="5" t="inlineStr">
        <is>
          <t>share</t>
        </is>
      </c>
      <c r="C44" s="14" t="n">
        <v>0.0702</v>
      </c>
      <c r="D44" s="14" t="n">
        <v>0.0702</v>
      </c>
      <c r="E44" s="14" t="n">
        <v>0.0702</v>
      </c>
      <c r="F44" s="14" t="n">
        <v>0.0702</v>
      </c>
      <c r="G44" s="14" t="n">
        <v>0.0702</v>
      </c>
      <c r="H44" s="14" t="n">
        <v>0.0702</v>
      </c>
      <c r="I44" s="5" t="inlineStr">
        <is>
          <t>FACT</t>
        </is>
      </c>
      <c r="J44" s="12" t="inlineStr">
        <is>
          <t>India 10Y G-sec, 23 Sep 2026</t>
        </is>
      </c>
      <c r="K44" s="2" t="n"/>
    </row>
    <row r="45">
      <c r="A45" s="5" t="inlineStr">
        <is>
          <t>equity_risk_premium</t>
        </is>
      </c>
      <c r="B45" s="5" t="inlineStr">
        <is>
          <t>share</t>
        </is>
      </c>
      <c r="C45" s="14" t="n">
        <v>0.0708</v>
      </c>
      <c r="D45" s="14" t="n">
        <v>0.0708</v>
      </c>
      <c r="E45" s="14" t="n">
        <v>0.0708</v>
      </c>
      <c r="F45" s="14" t="n">
        <v>0.0708</v>
      </c>
      <c r="G45" s="14" t="n">
        <v>0.0708</v>
      </c>
      <c r="H45" s="14" t="n">
        <v>0.0708</v>
      </c>
      <c r="I45" s="5" t="inlineStr">
        <is>
          <t>FACT</t>
        </is>
      </c>
      <c r="J45" s="12" t="inlineStr">
        <is>
          <t>Damodaran India total ERP, Jan 2026</t>
        </is>
      </c>
      <c r="K45" s="2" t="n"/>
    </row>
    <row r="46">
      <c r="A46" s="5" t="inlineStr">
        <is>
          <t>beta</t>
        </is>
      </c>
      <c r="B46" s="5" t="inlineStr">
        <is>
          <t>x</t>
        </is>
      </c>
      <c r="C46" s="13" t="n">
        <v>1</v>
      </c>
      <c r="D46" s="13" t="n">
        <v>1</v>
      </c>
      <c r="E46" s="13" t="n">
        <v>1</v>
      </c>
      <c r="F46" s="13" t="n">
        <v>1</v>
      </c>
      <c r="G46" s="13" t="n">
        <v>1</v>
      </c>
      <c r="H46" s="13" t="n">
        <v>1</v>
      </c>
      <c r="I46" s="5" t="inlineStr">
        <is>
          <t>ASSUMPTION</t>
        </is>
      </c>
      <c r="J46" s="12" t="inlineStr">
        <is>
          <t>No listed pure-play Indian CPO; market-average risk; tested 12-16%</t>
        </is>
      </c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4" t="inlineStr">
        <is>
          <t>UNIT COSTS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10" t="inlineStr">
        <is>
          <t>Item</t>
        </is>
      </c>
      <c r="B49" s="10" t="inlineStr">
        <is>
          <t>Unit</t>
        </is>
      </c>
      <c r="C49" s="10" t="inlineStr">
        <is>
          <t>Cost (Rs)</t>
        </is>
      </c>
      <c r="D49" s="10" t="inlineStr"/>
      <c r="E49" s="10" t="inlineStr"/>
      <c r="F49" s="10" t="inlineStr"/>
      <c r="G49" s="10" t="inlineStr"/>
      <c r="H49" s="10" t="inlineStr"/>
      <c r="I49" s="10" t="inlineStr">
        <is>
          <t>Label</t>
        </is>
      </c>
      <c r="J49" s="10" t="inlineStr">
        <is>
          <t>Source / rationale</t>
        </is>
      </c>
      <c r="K49" s="2" t="n"/>
    </row>
    <row r="50">
      <c r="A50" s="5" t="inlineStr">
        <is>
          <t>dc_60kw_charger</t>
        </is>
      </c>
      <c r="B50" s="5" t="inlineStr">
        <is>
          <t>per unit</t>
        </is>
      </c>
      <c r="C50" s="11" t="n">
        <v>814000</v>
      </c>
      <c r="D50" s="2" t="n"/>
      <c r="E50" s="2" t="n"/>
      <c r="F50" s="2" t="n"/>
      <c r="G50" s="2" t="n"/>
      <c r="H50" s="2" t="n"/>
      <c r="I50" s="5" t="inlineStr">
        <is>
          <t>DERIVED</t>
        </is>
      </c>
      <c r="J50" s="12" t="inlineStr">
        <is>
          <t>Linear interpolation of MHI benchmarks: 50 kW Rs 7.25 lakh, 100 kW Rs 11.68 lakh</t>
        </is>
      </c>
      <c r="K50" s="2" t="n"/>
    </row>
    <row r="51">
      <c r="A51" s="5" t="inlineStr">
        <is>
          <t>dc_120kw_charger</t>
        </is>
      </c>
      <c r="B51" s="5" t="inlineStr">
        <is>
          <t>per unit</t>
        </is>
      </c>
      <c r="C51" s="11" t="n">
        <v>1345000</v>
      </c>
      <c r="D51" s="2" t="n"/>
      <c r="E51" s="2" t="n"/>
      <c r="F51" s="2" t="n"/>
      <c r="G51" s="2" t="n"/>
      <c r="H51" s="2" t="n"/>
      <c r="I51" s="5" t="inlineStr">
        <is>
          <t>DERIVED</t>
        </is>
      </c>
      <c r="J51" s="12" t="inlineStr">
        <is>
          <t>Linear extrapolation of the same MHI benchmarks (no 120 kW benchmark published)</t>
        </is>
      </c>
      <c r="K51" s="2" t="n"/>
    </row>
    <row r="52">
      <c r="A52" s="5" t="inlineStr">
        <is>
          <t>ac_7kw_charger</t>
        </is>
      </c>
      <c r="B52" s="5" t="inlineStr">
        <is>
          <t>per unit</t>
        </is>
      </c>
      <c r="C52" s="11" t="n">
        <v>58000</v>
      </c>
      <c r="D52" s="2" t="n"/>
      <c r="E52" s="2" t="n"/>
      <c r="F52" s="2" t="n"/>
      <c r="G52" s="2" t="n"/>
      <c r="H52" s="2" t="n"/>
      <c r="I52" s="5" t="inlineStr">
        <is>
          <t>OBSERVED</t>
        </is>
      </c>
      <c r="J52" s="12" t="inlineStr">
        <is>
          <t>RIOD PowerPod Go 7.4 kW OCPP commercial charger listing (taxes included)</t>
        </is>
      </c>
      <c r="K52" s="2" t="n"/>
    </row>
    <row r="53">
      <c r="A53" s="5" t="inlineStr">
        <is>
          <t>civil_per_dc_bay</t>
        </is>
      </c>
      <c r="B53" s="5" t="inlineStr">
        <is>
          <t>per DC charger</t>
        </is>
      </c>
      <c r="C53" s="11" t="n">
        <v>200000</v>
      </c>
      <c r="D53" s="2" t="n"/>
      <c r="E53" s="2" t="n"/>
      <c r="F53" s="2" t="n"/>
      <c r="G53" s="2" t="n"/>
      <c r="H53" s="2" t="n"/>
      <c r="I53" s="5" t="inlineStr">
        <is>
          <t>ESTIMATE</t>
        </is>
      </c>
      <c r="J53" s="12" t="inlineStr">
        <is>
          <t>Cars24 (Jun 2026): installation &amp; civil Rs 1.5-2.0 lakh for a 30 kW station (upper end)</t>
        </is>
      </c>
      <c r="K53" s="2" t="n"/>
    </row>
    <row r="54">
      <c r="A54" s="5" t="inlineStr">
        <is>
          <t>civil_per_ac_bay</t>
        </is>
      </c>
      <c r="B54" s="5" t="inlineStr">
        <is>
          <t>per AC charger</t>
        </is>
      </c>
      <c r="C54" s="11" t="n">
        <v>50000</v>
      </c>
      <c r="D54" s="2" t="n"/>
      <c r="E54" s="2" t="n"/>
      <c r="F54" s="2" t="n"/>
      <c r="G54" s="2" t="n"/>
      <c r="H54" s="2" t="n"/>
      <c r="I54" s="5" t="inlineStr">
        <is>
          <t>ASSUMPTION</t>
        </is>
      </c>
      <c r="J54" s="12" t="inlineStr">
        <is>
          <t>Smaller foundation and cabling than a DC bay</t>
        </is>
      </c>
      <c r="K54" s="2" t="n"/>
    </row>
    <row r="55">
      <c r="A55" s="5" t="inlineStr">
        <is>
          <t>signage</t>
        </is>
      </c>
      <c r="B55" s="5" t="inlineStr">
        <is>
          <t>per station</t>
        </is>
      </c>
      <c r="C55" s="11" t="n">
        <v>40000</v>
      </c>
      <c r="D55" s="2" t="n"/>
      <c r="E55" s="2" t="n"/>
      <c r="F55" s="2" t="n"/>
      <c r="G55" s="2" t="n"/>
      <c r="H55" s="2" t="n"/>
      <c r="I55" s="5" t="inlineStr">
        <is>
          <t>ESTIMATE</t>
        </is>
      </c>
      <c r="J55" s="12" t="inlineStr">
        <is>
          <t>Cars24: Rs 25,000-40,000</t>
        </is>
      </c>
      <c r="K55" s="2" t="n"/>
    </row>
    <row r="56">
      <c r="A56" s="5" t="inlineStr">
        <is>
          <t>software_setup</t>
        </is>
      </c>
      <c r="B56" s="5" t="inlineStr">
        <is>
          <t>per station</t>
        </is>
      </c>
      <c r="C56" s="11" t="n">
        <v>35000</v>
      </c>
      <c r="D56" s="2" t="n"/>
      <c r="E56" s="2" t="n"/>
      <c r="F56" s="2" t="n"/>
      <c r="G56" s="2" t="n"/>
      <c r="H56" s="2" t="n"/>
      <c r="I56" s="5" t="inlineStr">
        <is>
          <t>ESTIMATE</t>
        </is>
      </c>
      <c r="J56" s="12" t="inlineStr">
        <is>
          <t>Cars24: Rs 20,000-35,000</t>
        </is>
      </c>
      <c r="K56" s="2" t="n"/>
    </row>
    <row r="57">
      <c r="A57" s="5" t="inlineStr">
        <is>
          <t>permits_misc</t>
        </is>
      </c>
      <c r="B57" s="5" t="inlineStr">
        <is>
          <t>per station</t>
        </is>
      </c>
      <c r="C57" s="11" t="n">
        <v>50000</v>
      </c>
      <c r="D57" s="2" t="n"/>
      <c r="E57" s="2" t="n"/>
      <c r="F57" s="2" t="n"/>
      <c r="G57" s="2" t="n"/>
      <c r="H57" s="2" t="n"/>
      <c r="I57" s="5" t="inlineStr">
        <is>
          <t>ESTIMATE</t>
        </is>
      </c>
      <c r="J57" s="12" t="inlineStr">
        <is>
          <t>Cars24: Rs 25,000-50,000</t>
        </is>
      </c>
      <c r="K57" s="2" t="n"/>
    </row>
    <row r="58">
      <c r="A58" s="5" t="inlineStr">
        <is>
          <t>hyd_ht_demand_charge</t>
        </is>
      </c>
      <c r="B58" s="5" t="inlineStr">
        <is>
          <t>Rs per kVA per month</t>
        </is>
      </c>
      <c r="C58" s="11" t="n">
        <v>100</v>
      </c>
      <c r="D58" s="2" t="n"/>
      <c r="E58" s="2" t="n"/>
      <c r="F58" s="2" t="n"/>
      <c r="G58" s="2" t="n"/>
      <c r="H58" s="2" t="n"/>
      <c r="I58" s="5" t="inlineStr">
        <is>
          <t>FACT</t>
        </is>
      </c>
      <c r="J58" s="12" t="inlineStr">
        <is>
          <t>TGERC HT-IX (only if connected load &gt; 150 kW)</t>
        </is>
      </c>
      <c r="K58" s="2" t="n"/>
    </row>
    <row r="59">
      <c r="A59" s="5" t="inlineStr">
        <is>
          <t>hyd_ht_customer_charge</t>
        </is>
      </c>
      <c r="B59" s="5" t="inlineStr">
        <is>
          <t>Rs per month</t>
        </is>
      </c>
      <c r="C59" s="11" t="n">
        <v>2000</v>
      </c>
      <c r="D59" s="2" t="n"/>
      <c r="E59" s="2" t="n"/>
      <c r="F59" s="2" t="n"/>
      <c r="G59" s="2" t="n"/>
      <c r="H59" s="2" t="n"/>
      <c r="I59" s="5" t="inlineStr">
        <is>
          <t>FACT</t>
        </is>
      </c>
      <c r="J59" s="12" t="inlineStr">
        <is>
          <t>TGERC HT-IX at 11 kV</t>
        </is>
      </c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4" t="inlineStr">
        <is>
          <t>CHARGER CONFIGURATIONS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10" t="inlineStr">
        <is>
          <t>Config</t>
        </is>
      </c>
      <c r="B62" s="10" t="inlineStr">
        <is>
          <t>Description</t>
        </is>
      </c>
      <c r="C62" s="10" t="inlineStr">
        <is>
          <t>60 kW DC units</t>
        </is>
      </c>
      <c r="D62" s="10" t="inlineStr">
        <is>
          <t>120 kW DC units</t>
        </is>
      </c>
      <c r="E62" s="10" t="inlineStr">
        <is>
          <t>7.4 kW AC units</t>
        </is>
      </c>
      <c r="F62" s="10" t="inlineStr">
        <is>
          <t>Grid band</t>
        </is>
      </c>
      <c r="G62" s="10" t="inlineStr">
        <is>
          <t>Grid work (Rs lakh)</t>
        </is>
      </c>
      <c r="H62" s="10" t="inlineStr"/>
      <c r="I62" s="10" t="inlineStr">
        <is>
          <t>Label</t>
        </is>
      </c>
      <c r="J62" s="10" t="inlineStr">
        <is>
          <t>Source</t>
        </is>
      </c>
      <c r="K62" s="2" t="n"/>
    </row>
    <row r="63">
      <c r="A63" s="5" t="inlineStr">
        <is>
          <t>A</t>
        </is>
      </c>
      <c r="B63" s="5" t="inlineStr">
        <is>
          <t>Lean: 1 x 60 kW DC + 2 x 7.4 kW AC</t>
        </is>
      </c>
      <c r="C63" s="15" t="n">
        <v>1</v>
      </c>
      <c r="D63" s="15" t="n">
        <v>0</v>
      </c>
      <c r="E63" s="15" t="n">
        <v>2</v>
      </c>
      <c r="F63" s="5" t="inlineStr">
        <is>
          <t>&lt;=100 kW</t>
        </is>
      </c>
      <c r="G63" s="15" t="n">
        <v>14.8</v>
      </c>
      <c r="H63" s="5" t="n"/>
      <c r="I63" s="5" t="inlineStr">
        <is>
          <t>FACT</t>
        </is>
      </c>
      <c r="J63" s="5" t="inlineStr">
        <is>
          <t>MHI PM E-DRIVE Table 3</t>
        </is>
      </c>
      <c r="K63" s="2" t="n"/>
    </row>
    <row r="64">
      <c r="A64" s="5" t="inlineStr">
        <is>
          <t>B</t>
        </is>
      </c>
      <c r="B64" s="5" t="inlineStr">
        <is>
          <t>Balanced: 2 x 60 kW DC + 2 x 7.4 kW AC</t>
        </is>
      </c>
      <c r="C64" s="15" t="n">
        <v>2</v>
      </c>
      <c r="D64" s="15" t="n">
        <v>0</v>
      </c>
      <c r="E64" s="15" t="n">
        <v>2</v>
      </c>
      <c r="F64" s="5" t="inlineStr">
        <is>
          <t>&lt;=150 kW</t>
        </is>
      </c>
      <c r="G64" s="15" t="n">
        <v>19</v>
      </c>
      <c r="H64" s="5" t="n"/>
      <c r="I64" s="5" t="inlineStr">
        <is>
          <t>FACT</t>
        </is>
      </c>
      <c r="J64" s="5" t="inlineStr">
        <is>
          <t>MHI PM E-DRIVE Table 3</t>
        </is>
      </c>
      <c r="K64" s="2" t="n"/>
    </row>
    <row r="65">
      <c r="A65" s="5" t="inlineStr">
        <is>
          <t>C</t>
        </is>
      </c>
      <c r="B65" s="5" t="inlineStr">
        <is>
          <t>Fleet hub: 2 x 120 kW DC + 2 x 7.4 kW AC</t>
        </is>
      </c>
      <c r="C65" s="15" t="n">
        <v>0</v>
      </c>
      <c r="D65" s="15" t="n">
        <v>2</v>
      </c>
      <c r="E65" s="15" t="n">
        <v>2</v>
      </c>
      <c r="F65" s="5" t="inlineStr">
        <is>
          <t>&gt;150 kW</t>
        </is>
      </c>
      <c r="G65" s="15" t="n">
        <v>24</v>
      </c>
      <c r="H65" s="5" t="n"/>
      <c r="I65" s="5" t="inlineStr">
        <is>
          <t>FACT</t>
        </is>
      </c>
      <c r="J65" s="5" t="inlineStr">
        <is>
          <t>MHI PM E-DRIVE Table 3</t>
        </is>
      </c>
      <c r="K6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SCENARIO COMPARISON - live links to the six model sheets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0" t="inlineStr">
        <is>
          <t>Metric</t>
        </is>
      </c>
      <c r="B3" s="10" t="inlineStr">
        <is>
          <t>Delhi Cons</t>
        </is>
      </c>
      <c r="C3" s="10" t="inlineStr">
        <is>
          <t>Delhi Base</t>
        </is>
      </c>
      <c r="D3" s="10" t="inlineStr">
        <is>
          <t>Delhi Aggr</t>
        </is>
      </c>
      <c r="E3" s="10" t="inlineStr">
        <is>
          <t>Hyd Cons</t>
        </is>
      </c>
      <c r="F3" s="10" t="inlineStr">
        <is>
          <t>Hyd Base</t>
        </is>
      </c>
      <c r="G3" s="10" t="inlineStr">
        <is>
          <t>Hyd Aggr</t>
        </is>
      </c>
    </row>
    <row r="4">
      <c r="A4" s="5" t="inlineStr">
        <is>
          <t>Year-1 utilisation</t>
        </is>
      </c>
      <c r="B4" s="7">
        <f>'DEL_Cons'!C65</f>
        <v/>
      </c>
      <c r="C4" s="7">
        <f>'DEL_Base'!C65</f>
        <v/>
      </c>
      <c r="D4" s="7">
        <f>'DEL_Aggr'!C65</f>
        <v/>
      </c>
      <c r="E4" s="7">
        <f>'HYD_Cons'!C65</f>
        <v/>
      </c>
      <c r="F4" s="7">
        <f>'HYD_Base'!C65</f>
        <v/>
      </c>
      <c r="G4" s="7">
        <f>'HYD_Aggr'!C65</f>
        <v/>
      </c>
    </row>
    <row r="5">
      <c r="A5" s="5" t="inlineStr">
        <is>
          <t>Year-5 utilisation</t>
        </is>
      </c>
      <c r="B5" s="7">
        <f>'DEL_Cons'!C66</f>
        <v/>
      </c>
      <c r="C5" s="7">
        <f>'DEL_Base'!C66</f>
        <v/>
      </c>
      <c r="D5" s="7">
        <f>'DEL_Aggr'!C66</f>
        <v/>
      </c>
      <c r="E5" s="7">
        <f>'HYD_Cons'!C66</f>
        <v/>
      </c>
      <c r="F5" s="7">
        <f>'HYD_Base'!C66</f>
        <v/>
      </c>
      <c r="G5" s="7">
        <f>'HYD_Aggr'!C66</f>
        <v/>
      </c>
    </row>
    <row r="6">
      <c r="A6" s="5" t="inlineStr">
        <is>
          <t>Year-1 revenue (Rs)</t>
        </is>
      </c>
      <c r="B6" s="6">
        <f>'DEL_Cons'!C67</f>
        <v/>
      </c>
      <c r="C6" s="6">
        <f>'DEL_Base'!C67</f>
        <v/>
      </c>
      <c r="D6" s="6">
        <f>'DEL_Aggr'!C67</f>
        <v/>
      </c>
      <c r="E6" s="6">
        <f>'HYD_Cons'!C67</f>
        <v/>
      </c>
      <c r="F6" s="6">
        <f>'HYD_Base'!C67</f>
        <v/>
      </c>
      <c r="G6" s="6">
        <f>'HYD_Aggr'!C67</f>
        <v/>
      </c>
    </row>
    <row r="7">
      <c r="A7" s="5" t="inlineStr">
        <is>
          <t>Year-1 EBITDA (Rs)</t>
        </is>
      </c>
      <c r="B7" s="6">
        <f>'DEL_Cons'!C68</f>
        <v/>
      </c>
      <c r="C7" s="6">
        <f>'DEL_Base'!C68</f>
        <v/>
      </c>
      <c r="D7" s="6">
        <f>'DEL_Aggr'!C68</f>
        <v/>
      </c>
      <c r="E7" s="6">
        <f>'HYD_Cons'!C68</f>
        <v/>
      </c>
      <c r="F7" s="6">
        <f>'HYD_Base'!C68</f>
        <v/>
      </c>
      <c r="G7" s="6">
        <f>'HYD_Aggr'!C68</f>
        <v/>
      </c>
    </row>
    <row r="8">
      <c r="A8" s="5" t="inlineStr">
        <is>
          <t>Year-5 EBITDA (Rs)</t>
        </is>
      </c>
      <c r="B8" s="6">
        <f>'DEL_Cons'!C69</f>
        <v/>
      </c>
      <c r="C8" s="6">
        <f>'DEL_Base'!C69</f>
        <v/>
      </c>
      <c r="D8" s="6">
        <f>'DEL_Aggr'!C69</f>
        <v/>
      </c>
      <c r="E8" s="6">
        <f>'HYD_Cons'!C69</f>
        <v/>
      </c>
      <c r="F8" s="6">
        <f>'HYD_Base'!C69</f>
        <v/>
      </c>
      <c r="G8" s="6">
        <f>'HYD_Aggr'!C69</f>
        <v/>
      </c>
    </row>
    <row r="9">
      <c r="A9" s="5" t="inlineStr">
        <is>
          <t>Year-5 EBITDA margin</t>
        </is>
      </c>
      <c r="B9" s="7">
        <f>'DEL_Cons'!C70</f>
        <v/>
      </c>
      <c r="C9" s="7">
        <f>'DEL_Base'!C70</f>
        <v/>
      </c>
      <c r="D9" s="7">
        <f>'DEL_Aggr'!C70</f>
        <v/>
      </c>
      <c r="E9" s="7">
        <f>'HYD_Cons'!C70</f>
        <v/>
      </c>
      <c r="F9" s="7">
        <f>'HYD_Base'!C70</f>
        <v/>
      </c>
      <c r="G9" s="7">
        <f>'HYD_Aggr'!C70</f>
        <v/>
      </c>
    </row>
    <row r="10">
      <c r="A10" s="5" t="inlineStr">
        <is>
          <t>NPV (Rs)</t>
        </is>
      </c>
      <c r="B10" s="6">
        <f>'DEL_Cons'!C62</f>
        <v/>
      </c>
      <c r="C10" s="6">
        <f>'DEL_Base'!C62</f>
        <v/>
      </c>
      <c r="D10" s="6">
        <f>'DEL_Aggr'!C62</f>
        <v/>
      </c>
      <c r="E10" s="6">
        <f>'HYD_Cons'!C62</f>
        <v/>
      </c>
      <c r="F10" s="6">
        <f>'HYD_Base'!C62</f>
        <v/>
      </c>
      <c r="G10" s="6">
        <f>'HYD_Aggr'!C62</f>
        <v/>
      </c>
    </row>
    <row r="11">
      <c r="A11" s="5" t="inlineStr">
        <is>
          <t>IRR</t>
        </is>
      </c>
      <c r="B11" s="7">
        <f>'DEL_Cons'!C63</f>
        <v/>
      </c>
      <c r="C11" s="7">
        <f>'DEL_Base'!C63</f>
        <v/>
      </c>
      <c r="D11" s="7">
        <f>'DEL_Aggr'!C63</f>
        <v/>
      </c>
      <c r="E11" s="7">
        <f>'HYD_Cons'!C63</f>
        <v/>
      </c>
      <c r="F11" s="7">
        <f>'HYD_Base'!C63</f>
        <v/>
      </c>
      <c r="G11" s="7">
        <f>'HYD_Aggr'!C63</f>
        <v/>
      </c>
    </row>
    <row r="12">
      <c r="A12" s="5" t="inlineStr">
        <is>
          <t>Payback (years)</t>
        </is>
      </c>
      <c r="B12" s="16">
        <f>'DEL_Cons'!C64</f>
        <v/>
      </c>
      <c r="C12" s="16">
        <f>'DEL_Base'!C64</f>
        <v/>
      </c>
      <c r="D12" s="16">
        <f>'DEL_Aggr'!C64</f>
        <v/>
      </c>
      <c r="E12" s="16">
        <f>'HYD_Cons'!C64</f>
        <v/>
      </c>
      <c r="F12" s="16">
        <f>'HYD_Base'!C64</f>
        <v/>
      </c>
      <c r="G12" s="16">
        <f>'HYD_Aggr'!C64</f>
        <v/>
      </c>
    </row>
    <row r="13">
      <c r="A13" s="5" t="inlineStr">
        <is>
          <t>EBITDA break-even utilisation (yr 1)</t>
        </is>
      </c>
      <c r="B13" s="7">
        <f>'DEL_Cons'!C75</f>
        <v/>
      </c>
      <c r="C13" s="7">
        <f>'DEL_Base'!C75</f>
        <v/>
      </c>
      <c r="D13" s="7">
        <f>'DEL_Aggr'!C75</f>
        <v/>
      </c>
      <c r="E13" s="7">
        <f>'HYD_Cons'!C75</f>
        <v/>
      </c>
      <c r="F13" s="7">
        <f>'HYD_Base'!C75</f>
        <v/>
      </c>
      <c r="G13" s="7">
        <f>'HYD_Aggr'!C75</f>
        <v/>
      </c>
    </row>
    <row r="14">
      <c r="A14" s="5" t="inlineStr">
        <is>
          <t>EBITDA break-even sessions/day (yr 1)</t>
        </is>
      </c>
      <c r="B14" s="17">
        <f>'DEL_Cons'!C74</f>
        <v/>
      </c>
      <c r="C14" s="17">
        <f>'DEL_Base'!C74</f>
        <v/>
      </c>
      <c r="D14" s="17">
        <f>'DEL_Aggr'!C74</f>
        <v/>
      </c>
      <c r="E14" s="17">
        <f>'HYD_Cons'!C74</f>
        <v/>
      </c>
      <c r="F14" s="17">
        <f>'HYD_Base'!C74</f>
        <v/>
      </c>
      <c r="G14" s="17">
        <f>'HYD_Aggr'!C74</f>
        <v/>
      </c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4" t="inlineStr">
        <is>
          <t>NPV break-even utilisation (from Python bisection; Excel has no goal-seek in a static file)</t>
        </is>
      </c>
      <c r="B16" s="2" t="n"/>
      <c r="C16" s="2" t="n"/>
      <c r="D16" s="2" t="n"/>
      <c r="E16" s="2" t="n"/>
      <c r="F16" s="2" t="n"/>
      <c r="G16" s="2" t="n"/>
    </row>
    <row r="17">
      <c r="A17" s="5" t="inlineStr">
        <is>
          <t>NPV break-even utilisation (blank = not reachable within capacity)</t>
        </is>
      </c>
      <c r="B17" s="18" t="n"/>
      <c r="C17" s="18" t="n">
        <v>0.2553</v>
      </c>
      <c r="D17" s="18" t="n">
        <v>0.1597</v>
      </c>
      <c r="E17" s="18" t="n"/>
      <c r="F17" s="18" t="n">
        <v>0.3583</v>
      </c>
      <c r="G17" s="18" t="n">
        <v>0.1818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8" t="inlineStr">
        <is>
          <t>SENSITIVITY - NPV (Rs lakh), base case, one input changed at a time</t>
        </is>
      </c>
      <c r="B1" s="2" t="n"/>
      <c r="C1" s="2" t="n"/>
      <c r="D1" s="2" t="n"/>
      <c r="E1" s="2" t="n"/>
      <c r="F1" s="2" t="n"/>
    </row>
    <row r="2">
      <c r="A2" s="3" t="inlineStr">
        <is>
          <t>Values come from src/run_results.py. To reproduce any row live: set the matching factor on the Inputs sheet (e.g. Demand factor = 0.7) and read NPV on DEL_Base / HYD_Base.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0" t="inlineStr">
        <is>
          <t>City</t>
        </is>
      </c>
      <c r="B4" s="10" t="inlineStr">
        <is>
          <t>Input tested</t>
        </is>
      </c>
      <c r="C4" s="10" t="inlineStr">
        <is>
          <t>Base NPV</t>
        </is>
      </c>
      <c r="D4" s="10" t="inlineStr">
        <is>
          <t>NPV worse</t>
        </is>
      </c>
      <c r="E4" s="10" t="inlineStr">
        <is>
          <t>NPV better</t>
        </is>
      </c>
      <c r="F4" s="10" t="inlineStr">
        <is>
          <t>Swing</t>
        </is>
      </c>
    </row>
    <row r="5">
      <c r="A5" s="5" t="inlineStr">
        <is>
          <t>Delhi</t>
        </is>
      </c>
      <c r="B5" s="5" t="inlineStr">
        <is>
          <t>Staff 2 FTE / 0 FTE</t>
        </is>
      </c>
      <c r="C5" s="19" t="n">
        <v>-25.39</v>
      </c>
      <c r="D5" s="19" t="n">
        <v>-40.43</v>
      </c>
      <c r="E5" s="19" t="n">
        <v>-11.7</v>
      </c>
      <c r="F5" s="19" t="n">
        <v>28.73</v>
      </c>
    </row>
    <row r="6">
      <c r="A6" s="5" t="inlineStr">
        <is>
          <t>Delhi</t>
        </is>
      </c>
      <c r="B6" s="5" t="inlineStr">
        <is>
          <t>Demand (capture) -30% / +30%</t>
        </is>
      </c>
      <c r="C6" s="19" t="n">
        <v>-25.39</v>
      </c>
      <c r="D6" s="19" t="n">
        <v>-34.95</v>
      </c>
      <c r="E6" s="19" t="n">
        <v>-16.23</v>
      </c>
      <c r="F6" s="19" t="n">
        <v>18.72</v>
      </c>
    </row>
    <row r="7">
      <c r="A7" s="5" t="inlineStr">
        <is>
          <t>Delhi</t>
        </is>
      </c>
      <c r="B7" s="5" t="inlineStr">
        <is>
          <t>Grid work: new connection / host's spare capacity</t>
        </is>
      </c>
      <c r="C7" s="19" t="n">
        <v>-25.39</v>
      </c>
      <c r="D7" s="19" t="n">
        <v>-25.39</v>
      </c>
      <c r="E7" s="19" t="n">
        <v>-8.76</v>
      </c>
      <c r="F7" s="19" t="n">
        <v>16.64</v>
      </c>
    </row>
    <row r="8">
      <c r="A8" s="5" t="inlineStr">
        <is>
          <t>Delhi</t>
        </is>
      </c>
      <c r="B8" s="5" t="inlineStr">
        <is>
          <t>CAPEX +20% / -20%</t>
        </is>
      </c>
      <c r="C8" s="19" t="n">
        <v>-25.39</v>
      </c>
      <c r="D8" s="19" t="n">
        <v>-32.13</v>
      </c>
      <c r="E8" s="19" t="n">
        <v>-18.66</v>
      </c>
      <c r="F8" s="19" t="n">
        <v>13.46</v>
      </c>
    </row>
    <row r="9">
      <c r="A9" s="5" t="inlineStr">
        <is>
          <t>Delhi</t>
        </is>
      </c>
      <c r="B9" s="5" t="inlineStr">
        <is>
          <t>Charging price -10% / +10%</t>
        </is>
      </c>
      <c r="C9" s="19" t="n">
        <v>-25.39</v>
      </c>
      <c r="D9" s="19" t="n">
        <v>-30.55</v>
      </c>
      <c r="E9" s="19" t="n">
        <v>-20.23</v>
      </c>
      <c r="F9" s="19" t="n">
        <v>10.32</v>
      </c>
    </row>
    <row r="10">
      <c r="A10" s="5" t="inlineStr">
        <is>
          <t>Delhi</t>
        </is>
      </c>
      <c r="B10" s="5" t="inlineStr">
        <is>
          <t>Electricity cost +20% / -20%</t>
        </is>
      </c>
      <c r="C10" s="19" t="n">
        <v>-25.39</v>
      </c>
      <c r="D10" s="19" t="n">
        <v>-29.34</v>
      </c>
      <c r="E10" s="19" t="n">
        <v>-21.45</v>
      </c>
      <c r="F10" s="19" t="n">
        <v>7.9</v>
      </c>
    </row>
    <row r="11">
      <c r="A11" s="5" t="inlineStr">
        <is>
          <t>Delhi</t>
        </is>
      </c>
      <c r="B11" s="5" t="inlineStr">
        <is>
          <t>Host revenue share 20% / 10%</t>
        </is>
      </c>
      <c r="C11" s="19" t="n">
        <v>-25.39</v>
      </c>
      <c r="D11" s="19" t="n">
        <v>-28.51</v>
      </c>
      <c r="E11" s="19" t="n">
        <v>-22.28</v>
      </c>
      <c r="F11" s="19" t="n">
        <v>6.23</v>
      </c>
    </row>
    <row r="12">
      <c r="A12" s="5" t="inlineStr">
        <is>
          <t>Delhi</t>
        </is>
      </c>
      <c r="B12" s="5" t="inlineStr">
        <is>
          <t>Discount rate 16% / 12%</t>
        </is>
      </c>
      <c r="C12" s="19" t="n">
        <v>-25.39</v>
      </c>
      <c r="D12" s="19" t="n">
        <v>-26.09</v>
      </c>
      <c r="E12" s="19" t="n">
        <v>-24.5</v>
      </c>
      <c r="F12" s="19" t="n">
        <v>1.6</v>
      </c>
    </row>
    <row r="13">
      <c r="A13" s="5" t="inlineStr">
        <is>
          <t>Hyderabad</t>
        </is>
      </c>
      <c r="B13" s="5" t="inlineStr">
        <is>
          <t>Staff 2 FTE / 0 FTE</t>
        </is>
      </c>
      <c r="C13" s="19" t="n">
        <v>-34.85</v>
      </c>
      <c r="D13" s="19" t="n">
        <v>-49.88</v>
      </c>
      <c r="E13" s="19" t="n">
        <v>-19.82</v>
      </c>
      <c r="F13" s="19" t="n">
        <v>30.07</v>
      </c>
    </row>
    <row r="14">
      <c r="A14" s="5" t="inlineStr">
        <is>
          <t>Hyderabad</t>
        </is>
      </c>
      <c r="B14" s="5" t="inlineStr">
        <is>
          <t>Grid work: new connection / host's spare capacity</t>
        </is>
      </c>
      <c r="C14" s="19" t="n">
        <v>-34.85</v>
      </c>
      <c r="D14" s="19" t="n">
        <v>-34.85</v>
      </c>
      <c r="E14" s="19" t="n">
        <v>-18.06</v>
      </c>
      <c r="F14" s="19" t="n">
        <v>16.79</v>
      </c>
    </row>
    <row r="15">
      <c r="A15" s="5" t="inlineStr">
        <is>
          <t>Hyderabad</t>
        </is>
      </c>
      <c r="B15" s="5" t="inlineStr">
        <is>
          <t>Demand (capture) -30% / +30%</t>
        </is>
      </c>
      <c r="C15" s="19" t="n">
        <v>-34.85</v>
      </c>
      <c r="D15" s="19" t="n">
        <v>-41.59</v>
      </c>
      <c r="E15" s="19" t="n">
        <v>-28.1</v>
      </c>
      <c r="F15" s="19" t="n">
        <v>13.49</v>
      </c>
    </row>
    <row r="16">
      <c r="A16" s="5" t="inlineStr">
        <is>
          <t>Hyderabad</t>
        </is>
      </c>
      <c r="B16" s="5" t="inlineStr">
        <is>
          <t>CAPEX +20% / -20%</t>
        </is>
      </c>
      <c r="C16" s="19" t="n">
        <v>-34.85</v>
      </c>
      <c r="D16" s="19" t="n">
        <v>-41.58</v>
      </c>
      <c r="E16" s="19" t="n">
        <v>-28.12</v>
      </c>
      <c r="F16" s="19" t="n">
        <v>13.46</v>
      </c>
    </row>
    <row r="17">
      <c r="A17" s="5" t="inlineStr">
        <is>
          <t>Hyderabad</t>
        </is>
      </c>
      <c r="B17" s="5" t="inlineStr">
        <is>
          <t>Charging price -10% / +10%</t>
        </is>
      </c>
      <c r="C17" s="19" t="n">
        <v>-34.85</v>
      </c>
      <c r="D17" s="19" t="n">
        <v>-39.23</v>
      </c>
      <c r="E17" s="19" t="n">
        <v>-30.47</v>
      </c>
      <c r="F17" s="19" t="n">
        <v>8.75</v>
      </c>
    </row>
    <row r="18">
      <c r="A18" s="5" t="inlineStr">
        <is>
          <t>Hyderabad</t>
        </is>
      </c>
      <c r="B18" s="5" t="inlineStr">
        <is>
          <t>Electricity cost +20% / -20%</t>
        </is>
      </c>
      <c r="C18" s="19" t="n">
        <v>-34.85</v>
      </c>
      <c r="D18" s="19" t="n">
        <v>-39.11</v>
      </c>
      <c r="E18" s="19" t="n">
        <v>-30.59</v>
      </c>
      <c r="F18" s="19" t="n">
        <v>8.52</v>
      </c>
    </row>
    <row r="19">
      <c r="A19" s="5" t="inlineStr">
        <is>
          <t>Hyderabad</t>
        </is>
      </c>
      <c r="B19" s="5" t="inlineStr">
        <is>
          <t>Host revenue share 20% / 10%</t>
        </is>
      </c>
      <c r="C19" s="19" t="n">
        <v>-34.85</v>
      </c>
      <c r="D19" s="19" t="n">
        <v>-37.49</v>
      </c>
      <c r="E19" s="19" t="n">
        <v>-32.21</v>
      </c>
      <c r="F19" s="19" t="n">
        <v>5.28</v>
      </c>
    </row>
    <row r="20">
      <c r="A20" s="5" t="inlineStr">
        <is>
          <t>Hyderabad</t>
        </is>
      </c>
      <c r="B20" s="5" t="inlineStr">
        <is>
          <t>Discount rate 16% / 12%</t>
        </is>
      </c>
      <c r="C20" s="19" t="n">
        <v>-34.85</v>
      </c>
      <c r="D20" s="19" t="n">
        <v>-34.77</v>
      </c>
      <c r="E20" s="19" t="n">
        <v>-34.94</v>
      </c>
      <c r="F20" s="19" t="n">
        <v>-0.18</v>
      </c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4" t="inlineStr">
        <is>
          <t>WHAT WOULD IT TAKE? Controllable levers stacked on the base case (Rs lakh)</t>
        </is>
      </c>
      <c r="B23" s="2" t="n"/>
      <c r="C23" s="2" t="n"/>
      <c r="D23" s="2" t="n"/>
      <c r="E23" s="2" t="n"/>
      <c r="F23" s="2" t="n"/>
    </row>
    <row r="24">
      <c r="A24" s="10" t="inlineStr">
        <is>
          <t>City</t>
        </is>
      </c>
      <c r="B24" s="10" t="inlineStr">
        <is>
          <t>Step</t>
        </is>
      </c>
      <c r="C24" s="10" t="inlineStr">
        <is>
          <t>CAPEX</t>
        </is>
      </c>
      <c r="D24" s="10" t="inlineStr">
        <is>
          <t>NPV</t>
        </is>
      </c>
      <c r="E24" s="10" t="inlineStr">
        <is>
          <t>IRR %</t>
        </is>
      </c>
      <c r="F24" s="10" t="inlineStr">
        <is>
          <t>Payback yrs</t>
        </is>
      </c>
    </row>
    <row r="25">
      <c r="A25" s="5" t="inlineStr">
        <is>
          <t>Delhi</t>
        </is>
      </c>
      <c r="B25" s="5" t="inlineStr">
        <is>
          <t>Base case</t>
        </is>
      </c>
      <c r="C25" s="19" t="n">
        <v>31.18</v>
      </c>
      <c r="D25" s="19" t="n">
        <v>-25.39</v>
      </c>
      <c r="E25" s="19" t="n"/>
      <c r="F25" s="19" t="n"/>
    </row>
    <row r="26">
      <c r="A26" s="5" t="inlineStr">
        <is>
          <t>Delhi</t>
        </is>
      </c>
      <c r="B26" s="5" t="inlineStr">
        <is>
          <t>+ host site with spare grid capacity</t>
        </is>
      </c>
      <c r="C26" s="19" t="n">
        <v>14.9</v>
      </c>
      <c r="D26" s="19" t="n">
        <v>-8.76</v>
      </c>
      <c r="E26" s="19" t="n">
        <v>1.4</v>
      </c>
      <c r="F26" s="19" t="n">
        <v>9.5</v>
      </c>
    </row>
    <row r="27">
      <c r="A27" s="5" t="inlineStr">
        <is>
          <t>Delhi</t>
        </is>
      </c>
      <c r="B27" s="5" t="inlineStr">
        <is>
          <t>+ unmanned (remote-monitored)</t>
        </is>
      </c>
      <c r="C27" s="19" t="n">
        <v>14.9</v>
      </c>
      <c r="D27" s="19" t="n">
        <v>2.94</v>
      </c>
      <c r="E27" s="19" t="n">
        <v>18</v>
      </c>
      <c r="F27" s="19" t="n">
        <v>5.1</v>
      </c>
    </row>
    <row r="28">
      <c r="A28" s="5" t="inlineStr">
        <is>
          <t>Delhi</t>
        </is>
      </c>
      <c r="B28" s="5" t="inlineStr">
        <is>
          <t>+ host share cut to 10%</t>
        </is>
      </c>
      <c r="C28" s="19" t="n">
        <v>14.9</v>
      </c>
      <c r="D28" s="19" t="n">
        <v>5.27</v>
      </c>
      <c r="E28" s="19" t="n">
        <v>20.9</v>
      </c>
      <c r="F28" s="19" t="n">
        <v>4.7</v>
      </c>
    </row>
    <row r="29">
      <c r="A29" s="5" t="inlineStr">
        <is>
          <t>Delhi</t>
        </is>
      </c>
      <c r="B29" s="5" t="inlineStr">
        <is>
          <t>Break-even utilisation with all levers (%)</t>
        </is>
      </c>
      <c r="C29" s="19" t="n"/>
      <c r="D29" s="19" t="n">
        <v>10.38</v>
      </c>
      <c r="E29" s="19" t="n"/>
      <c r="F29" s="19" t="n"/>
    </row>
    <row r="30">
      <c r="A30" s="5" t="inlineStr">
        <is>
          <t>Hyderabad</t>
        </is>
      </c>
      <c r="B30" s="5" t="inlineStr">
        <is>
          <t>Base case</t>
        </is>
      </c>
      <c r="C30" s="19" t="n">
        <v>31.18</v>
      </c>
      <c r="D30" s="19" t="n">
        <v>-34.85</v>
      </c>
      <c r="E30" s="19" t="n"/>
      <c r="F30" s="19" t="n"/>
    </row>
    <row r="31">
      <c r="A31" s="5" t="inlineStr">
        <is>
          <t>Hyderabad</t>
        </is>
      </c>
      <c r="B31" s="5" t="inlineStr">
        <is>
          <t>+ host site with spare grid capacity</t>
        </is>
      </c>
      <c r="C31" s="19" t="n">
        <v>14.9</v>
      </c>
      <c r="D31" s="19" t="n">
        <v>-18.06</v>
      </c>
      <c r="E31" s="19" t="n"/>
      <c r="F31" s="19" t="n"/>
    </row>
    <row r="32">
      <c r="A32" s="5" t="inlineStr">
        <is>
          <t>Hyderabad</t>
        </is>
      </c>
      <c r="B32" s="5" t="inlineStr">
        <is>
          <t>+ unmanned (remote-monitored)</t>
        </is>
      </c>
      <c r="C32" s="19" t="n">
        <v>14.9</v>
      </c>
      <c r="D32" s="19" t="n">
        <v>-4.17</v>
      </c>
      <c r="E32" s="19" t="n">
        <v>7.8</v>
      </c>
      <c r="F32" s="19" t="n">
        <v>7.4</v>
      </c>
    </row>
    <row r="33">
      <c r="A33" s="5" t="inlineStr">
        <is>
          <t>Hyderabad</t>
        </is>
      </c>
      <c r="B33" s="5" t="inlineStr">
        <is>
          <t>+ host share cut to 10%</t>
        </is>
      </c>
      <c r="C33" s="19" t="n">
        <v>14.9</v>
      </c>
      <c r="D33" s="19" t="n">
        <v>-2.17</v>
      </c>
      <c r="E33" s="19" t="n">
        <v>11</v>
      </c>
      <c r="F33" s="19" t="n">
        <v>6.5</v>
      </c>
    </row>
    <row r="34">
      <c r="A34" s="5" t="inlineStr">
        <is>
          <t>Hyderabad</t>
        </is>
      </c>
      <c r="B34" s="5" t="inlineStr">
        <is>
          <t>Break-even utilisation with all levers (%)</t>
        </is>
      </c>
      <c r="C34" s="19" t="n"/>
      <c r="D34" s="19" t="n">
        <v>14.33</v>
      </c>
      <c r="E34" s="19" t="n"/>
      <c r="F34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85" customWidth="1" min="1" max="1"/>
    <col width="18" customWidth="1" min="2" max="2"/>
  </cols>
  <sheetData>
    <row r="1">
      <c r="A1" s="8" t="inlineStr">
        <is>
          <t>MODEL CHECKS - every row must read TRUE</t>
        </is>
      </c>
      <c r="B1" s="2" t="n"/>
    </row>
    <row r="2">
      <c r="A2" s="2" t="n"/>
      <c r="B2" s="2" t="n"/>
    </row>
    <row r="3">
      <c r="A3" s="5" t="inlineStr">
        <is>
          <t>DEL_Cons: sold kWh never exceeds capacity</t>
        </is>
      </c>
      <c r="B3" s="5">
        <f>MAX('DEL_Cons'!D33:M33)&lt;='DEL_Cons'!C17+0.001</f>
        <v/>
      </c>
    </row>
    <row r="4">
      <c r="A4" s="5" t="inlineStr">
        <is>
          <t>DEL_Cons: revenue = kWh x price (year 1)</t>
        </is>
      </c>
      <c r="B4" s="5">
        <f>ABS('DEL_Cons'!D37-'DEL_Cons'!D36*'DEL_Cons'!C21)&lt;1</f>
        <v/>
      </c>
    </row>
    <row r="5">
      <c r="A5" s="5" t="inlineStr">
        <is>
          <t>DEL_Cons: EBITDA = gross profit - opex (year 5)</t>
        </is>
      </c>
      <c r="B5" s="5">
        <f>ABS('DEL_Cons'!H48-('DEL_Cons'!H39-'DEL_Cons'!H47))&lt;1</f>
        <v/>
      </c>
    </row>
    <row r="6">
      <c r="A6" s="5" t="inlineStr">
        <is>
          <t>DEL_Cons: cumulative cash = sum of net cash flows</t>
        </is>
      </c>
      <c r="B6" s="5">
        <f>ABS('DEL_Cons'!M58-SUM('DEL_Cons'!C57:M57))&lt;1</f>
        <v/>
      </c>
    </row>
    <row r="7">
      <c r="A7" s="5" t="inlineStr">
        <is>
          <t>DEL_Cons: Excel NPV matches Python NPV (config A, all factors = 1) within Rs 1,000</t>
        </is>
      </c>
      <c r="B7" s="5">
        <f>OR(Inputs!$C$4&lt;&gt;"A",ABS('DEL_Cons'!C62--7082000.00)&lt;1000)</f>
        <v/>
      </c>
    </row>
    <row r="8">
      <c r="A8" s="5" t="inlineStr">
        <is>
          <t>DEL_Base: sold kWh never exceeds capacity</t>
        </is>
      </c>
      <c r="B8" s="5">
        <f>MAX('DEL_Base'!D33:M33)&lt;='DEL_Base'!C17+0.001</f>
        <v/>
      </c>
    </row>
    <row r="9">
      <c r="A9" s="5" t="inlineStr">
        <is>
          <t>DEL_Base: revenue = kWh x price (year 1)</t>
        </is>
      </c>
      <c r="B9" s="5">
        <f>ABS('DEL_Base'!D37-'DEL_Base'!D36*'DEL_Base'!C21)&lt;1</f>
        <v/>
      </c>
    </row>
    <row r="10">
      <c r="A10" s="5" t="inlineStr">
        <is>
          <t>DEL_Base: EBITDA = gross profit - opex (year 5)</t>
        </is>
      </c>
      <c r="B10" s="5">
        <f>ABS('DEL_Base'!H48-('DEL_Base'!H39-'DEL_Base'!H47))&lt;1</f>
        <v/>
      </c>
    </row>
    <row r="11">
      <c r="A11" s="5" t="inlineStr">
        <is>
          <t>DEL_Base: cumulative cash = sum of net cash flows</t>
        </is>
      </c>
      <c r="B11" s="5">
        <f>ABS('DEL_Base'!M58-SUM('DEL_Base'!C57:M57))&lt;1</f>
        <v/>
      </c>
    </row>
    <row r="12">
      <c r="A12" s="5" t="inlineStr">
        <is>
          <t>DEL_Base: Excel NPV matches Python NPV (config A, all factors = 1) within Rs 1,000</t>
        </is>
      </c>
      <c r="B12" s="5">
        <f>OR(Inputs!$C$4&lt;&gt;"A",ABS('DEL_Base'!C62--2539000.00)&lt;1000)</f>
        <v/>
      </c>
    </row>
    <row r="13">
      <c r="A13" s="5" t="inlineStr">
        <is>
          <t>DEL_Aggr: sold kWh never exceeds capacity</t>
        </is>
      </c>
      <c r="B13" s="5">
        <f>MAX('DEL_Aggr'!D33:M33)&lt;='DEL_Aggr'!C17+0.001</f>
        <v/>
      </c>
    </row>
    <row r="14">
      <c r="A14" s="5" t="inlineStr">
        <is>
          <t>DEL_Aggr: revenue = kWh x price (year 1)</t>
        </is>
      </c>
      <c r="B14" s="5">
        <f>ABS('DEL_Aggr'!D37-'DEL_Aggr'!D36*'DEL_Aggr'!C21)&lt;1</f>
        <v/>
      </c>
    </row>
    <row r="15">
      <c r="A15" s="5" t="inlineStr">
        <is>
          <t>DEL_Aggr: EBITDA = gross profit - opex (year 5)</t>
        </is>
      </c>
      <c r="B15" s="5">
        <f>ABS('DEL_Aggr'!H48-('DEL_Aggr'!H39-'DEL_Aggr'!H47))&lt;1</f>
        <v/>
      </c>
    </row>
    <row r="16">
      <c r="A16" s="5" t="inlineStr">
        <is>
          <t>DEL_Aggr: cumulative cash = sum of net cash flows</t>
        </is>
      </c>
      <c r="B16" s="5">
        <f>ABS('DEL_Aggr'!M58-SUM('DEL_Aggr'!C57:M57))&lt;1</f>
        <v/>
      </c>
    </row>
    <row r="17">
      <c r="A17" s="5" t="inlineStr">
        <is>
          <t>DEL_Aggr: Excel NPV matches Python NPV (config A, all factors = 1) within Rs 1,000</t>
        </is>
      </c>
      <c r="B17" s="5">
        <f>OR(Inputs!$C$4&lt;&gt;"A",ABS('DEL_Aggr'!C62-2255000.00)&lt;1000)</f>
        <v/>
      </c>
    </row>
    <row r="18">
      <c r="A18" s="5" t="inlineStr">
        <is>
          <t>HYD_Cons: sold kWh never exceeds capacity</t>
        </is>
      </c>
      <c r="B18" s="5">
        <f>MAX('HYD_Cons'!D33:M33)&lt;='HYD_Cons'!C17+0.001</f>
        <v/>
      </c>
    </row>
    <row r="19">
      <c r="A19" s="5" t="inlineStr">
        <is>
          <t>HYD_Cons: revenue = kWh x price (year 1)</t>
        </is>
      </c>
      <c r="B19" s="5">
        <f>ABS('HYD_Cons'!D37-'HYD_Cons'!D36*'HYD_Cons'!C21)&lt;1</f>
        <v/>
      </c>
    </row>
    <row r="20">
      <c r="A20" s="5" t="inlineStr">
        <is>
          <t>HYD_Cons: EBITDA = gross profit - opex (year 5)</t>
        </is>
      </c>
      <c r="B20" s="5">
        <f>ABS('HYD_Cons'!H48-('HYD_Cons'!H39-'HYD_Cons'!H47))&lt;1</f>
        <v/>
      </c>
    </row>
    <row r="21">
      <c r="A21" s="5" t="inlineStr">
        <is>
          <t>HYD_Cons: cumulative cash = sum of net cash flows</t>
        </is>
      </c>
      <c r="B21" s="5">
        <f>ABS('HYD_Cons'!M58-SUM('HYD_Cons'!C57:M57))&lt;1</f>
        <v/>
      </c>
    </row>
    <row r="22">
      <c r="A22" s="5" t="inlineStr">
        <is>
          <t>HYD_Cons: Excel NPV matches Python NPV (config A, all factors = 1) within Rs 1,000</t>
        </is>
      </c>
      <c r="B22" s="5">
        <f>OR(Inputs!$C$4&lt;&gt;"A",ABS('HYD_Cons'!C62--7606000.00)&lt;1000)</f>
        <v/>
      </c>
    </row>
    <row r="23">
      <c r="A23" s="5" t="inlineStr">
        <is>
          <t>HYD_Base: sold kWh never exceeds capacity</t>
        </is>
      </c>
      <c r="B23" s="5">
        <f>MAX('HYD_Base'!D33:M33)&lt;='HYD_Base'!C17+0.001</f>
        <v/>
      </c>
    </row>
    <row r="24">
      <c r="A24" s="5" t="inlineStr">
        <is>
          <t>HYD_Base: revenue = kWh x price (year 1)</t>
        </is>
      </c>
      <c r="B24" s="5">
        <f>ABS('HYD_Base'!D37-'HYD_Base'!D36*'HYD_Base'!C21)&lt;1</f>
        <v/>
      </c>
    </row>
    <row r="25">
      <c r="A25" s="5" t="inlineStr">
        <is>
          <t>HYD_Base: EBITDA = gross profit - opex (year 5)</t>
        </is>
      </c>
      <c r="B25" s="5">
        <f>ABS('HYD_Base'!H48-('HYD_Base'!H39-'HYD_Base'!H47))&lt;1</f>
        <v/>
      </c>
    </row>
    <row r="26">
      <c r="A26" s="5" t="inlineStr">
        <is>
          <t>HYD_Base: cumulative cash = sum of net cash flows</t>
        </is>
      </c>
      <c r="B26" s="5">
        <f>ABS('HYD_Base'!M58-SUM('HYD_Base'!C57:M57))&lt;1</f>
        <v/>
      </c>
    </row>
    <row r="27">
      <c r="A27" s="5" t="inlineStr">
        <is>
          <t>HYD_Base: Excel NPV matches Python NPV (config A, all factors = 1) within Rs 1,000</t>
        </is>
      </c>
      <c r="B27" s="5">
        <f>OR(Inputs!$C$4&lt;&gt;"A",ABS('HYD_Base'!C62--3485000.00)&lt;1000)</f>
        <v/>
      </c>
    </row>
    <row r="28">
      <c r="A28" s="5" t="inlineStr">
        <is>
          <t>HYD_Aggr: sold kWh never exceeds capacity</t>
        </is>
      </c>
      <c r="B28" s="5">
        <f>MAX('HYD_Aggr'!D33:M33)&lt;='HYD_Aggr'!C17+0.001</f>
        <v/>
      </c>
    </row>
    <row r="29">
      <c r="A29" s="5" t="inlineStr">
        <is>
          <t>HYD_Aggr: revenue = kWh x price (year 1)</t>
        </is>
      </c>
      <c r="B29" s="5">
        <f>ABS('HYD_Aggr'!D37-'HYD_Aggr'!D36*'HYD_Aggr'!C21)&lt;1</f>
        <v/>
      </c>
    </row>
    <row r="30">
      <c r="A30" s="5" t="inlineStr">
        <is>
          <t>HYD_Aggr: EBITDA = gross profit - opex (year 5)</t>
        </is>
      </c>
      <c r="B30" s="5">
        <f>ABS('HYD_Aggr'!H48-('HYD_Aggr'!H39-'HYD_Aggr'!H47))&lt;1</f>
        <v/>
      </c>
    </row>
    <row r="31">
      <c r="A31" s="5" t="inlineStr">
        <is>
          <t>HYD_Aggr: cumulative cash = sum of net cash flows</t>
        </is>
      </c>
      <c r="B31" s="5">
        <f>ABS('HYD_Aggr'!M58-SUM('HYD_Aggr'!C57:M57))&lt;1</f>
        <v/>
      </c>
    </row>
    <row r="32">
      <c r="A32" s="5" t="inlineStr">
        <is>
          <t>HYD_Aggr: Excel NPV matches Python NPV (config A, all factors = 1) within Rs 1,000</t>
        </is>
      </c>
      <c r="B32" s="5">
        <f>OR(Inputs!$C$4&lt;&gt;"A",ABS('HYD_Aggr'!C62-1488000.00)&lt;1000)</f>
        <v/>
      </c>
    </row>
    <row r="33">
      <c r="A33" s="2" t="n"/>
      <c r="B33" s="2" t="n"/>
    </row>
    <row r="34">
      <c r="A34" s="4" t="inlineStr">
        <is>
          <t>ALL CHECKS PASS</t>
        </is>
      </c>
      <c r="B34" s="4">
        <f>AND(B3:B32)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Delhi - conservative scenario - station model (all formulas)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Green = link to Inputs, black = calculation. Change inputs on the Inputs sheet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Configuration</t>
        </is>
      </c>
      <c r="B4" s="2" t="n"/>
      <c r="C4" s="20">
        <f>Inputs!$C$4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60 kW DC chargers</t>
        </is>
      </c>
      <c r="B5" s="2" t="n"/>
      <c r="C5" s="21">
        <f>INDEX(Inputs!$C$63:$C$65,MATCH(C4,Inputs!$A$63:$A$65,0))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120 kW DC chargers</t>
        </is>
      </c>
      <c r="B6" s="2" t="n"/>
      <c r="C6" s="21">
        <f>INDEX(Inputs!$D$63:$D$65,MATCH(C4,Inputs!$A$63:$A$65,0))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7.4 kW AC chargers</t>
        </is>
      </c>
      <c r="B7" s="2" t="n"/>
      <c r="C7" s="21">
        <f>INDEX(Inputs!$E$63:$E$65,MATCH(C4,Inputs!$A$63:$A$65,0))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Total chargers</t>
        </is>
      </c>
      <c r="B8" s="2" t="n"/>
      <c r="C8" s="21">
        <f>C5+C6+C7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5" t="inlineStr">
        <is>
          <t>Total connected kW</t>
        </is>
      </c>
      <c r="B9" s="2" t="n"/>
      <c r="C9" s="22">
        <f>C5*60+C6*120+C7*7.4</f>
        <v/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 t="inlineStr">
        <is>
          <t>CAPEX multiplier (scenario x control)</t>
        </is>
      </c>
      <c r="B10" s="2" t="n"/>
      <c r="C10" s="23">
        <f>Inputs!$C$36*Inputs!$C$8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 t="inlineStr">
        <is>
          <t>Chargers (Rs)</t>
        </is>
      </c>
      <c r="B11" s="2" t="n"/>
      <c r="C11" s="24">
        <f>(C5*Inputs!$C$50+C6*Inputs!$C$51+C7*Inputs!$C$52)*C10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5" t="inlineStr">
        <is>
          <t>Grid connection work (Rs)</t>
        </is>
      </c>
      <c r="B12" s="2" t="n"/>
      <c r="C12" s="24">
        <f>INDEX(Inputs!$G$63:$G$65,MATCH(C4,Inputs!$A$63:$A$65,0))*100000*C10*Inputs!$C$9</f>
        <v/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5" t="inlineStr">
        <is>
          <t>Civil &amp; installation (Rs)</t>
        </is>
      </c>
      <c r="B13" s="2" t="n"/>
      <c r="C13" s="24">
        <f>((C5+C6)*Inputs!$C$53+C7*Inputs!$C$54)*C10</f>
        <v/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5" t="inlineStr">
        <is>
          <t>Signage, software set-up, permits (Rs)</t>
        </is>
      </c>
      <c r="B14" s="2" t="n"/>
      <c r="C14" s="24">
        <f>Inputs!$C$55+Inputs!$C$56+Inputs!$C$57</f>
        <v/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 t="inlineStr">
        <is>
          <t>Contingency (Rs)</t>
        </is>
      </c>
      <c r="B15" s="2" t="n"/>
      <c r="C15" s="24">
        <f>SUM(C11:C14)*Inputs!$C$37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TOTAL CAPEX (Rs)</t>
        </is>
      </c>
      <c r="B16" s="2" t="n"/>
      <c r="C16" s="25">
        <f>SUM(C11:C15)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5" t="inlineStr">
        <is>
          <t>Capacity, kWh/day (at max practical utilisation)</t>
        </is>
      </c>
      <c r="B17" s="2" t="n"/>
      <c r="C17" s="26">
        <f>C9*Inputs!$C$39*24*Inputs!$C$40*Inputs!$C$38</f>
        <v/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5" t="inlineStr">
        <is>
          <t>Energy if in use 24h, kWh/day (for utilisation %)</t>
        </is>
      </c>
      <c r="B18" s="2" t="n"/>
      <c r="C18" s="26">
        <f>C9*Inputs!$C$39*24</f>
        <v/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 t="inlineStr">
        <is>
          <t>Fair share of public demand, kWh/day</t>
        </is>
      </c>
      <c r="B19" s="2" t="n"/>
      <c r="C19" s="26">
        <f>Inputs!$C$15/Inputs!$C$16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 t="inlineStr">
        <is>
          <t>Steady demand year 1, kWh/day</t>
        </is>
      </c>
      <c r="B20" s="2" t="n"/>
      <c r="C20" s="26">
        <f>C19*Inputs!$C$17*Inputs!$C$5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5" t="inlineStr">
        <is>
          <t>Price net of GST year 1 (Rs/kWh)</t>
        </is>
      </c>
      <c r="B21" s="2" t="n"/>
      <c r="C21" s="27">
        <f>Inputs!$C$21*Inputs!$C$6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5" t="inlineStr">
        <is>
          <t>Electricity tariff year 1 (Rs/kWh)</t>
        </is>
      </c>
      <c r="B22" s="2" t="n"/>
      <c r="C22" s="27">
        <f>Inputs!$C$23*Inputs!$C$7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5" t="inlineStr">
        <is>
          <t>Fixed electricity charge (Rs/month)</t>
        </is>
      </c>
      <c r="B23" s="2" t="n"/>
      <c r="C23" s="24">
        <f>IF(AND(FALSE,C9&gt;150),0,Inputs!$C$24)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5" t="inlineStr">
        <is>
          <t>Host revenue share</t>
        </is>
      </c>
      <c r="B24" s="2" t="n"/>
      <c r="C24" s="28">
        <f>IF(Inputs!$C$11="",Inputs!$C$27,Inputs!$C$11)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5" t="inlineStr">
        <is>
          <t>Staff FTE</t>
        </is>
      </c>
      <c r="B25" s="2" t="n"/>
      <c r="C25" s="22">
        <f>IF(Inputs!$C$10="",Inputs!$C$28,Inputs!$C$10)</f>
        <v/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 t="inlineStr">
        <is>
          <t>Discount rate (CAPM: Rf + beta x ERP)</t>
        </is>
      </c>
      <c r="B26" s="2" t="n"/>
      <c r="C26" s="28">
        <f>IF(Inputs!$C$12="",Inputs!$C$44+Inputs!$C$46*Inputs!$C$45,Inputs!$C$12)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5" t="inlineStr">
        <is>
          <t>Annual depreciation (Rs)</t>
        </is>
      </c>
      <c r="B27" s="2" t="n"/>
      <c r="C27" s="24">
        <f>C16/Inputs!$C$42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4" t="inlineStr">
        <is>
          <t>ANNUAL PROJECTION (Rs unless stated)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Year</t>
        </is>
      </c>
      <c r="B31" s="2" t="n"/>
      <c r="C31" s="29" t="inlineStr">
        <is>
          <t>0</t>
        </is>
      </c>
      <c r="D31" s="29" t="inlineStr">
        <is>
          <t>1</t>
        </is>
      </c>
      <c r="E31" s="29" t="inlineStr">
        <is>
          <t>2</t>
        </is>
      </c>
      <c r="F31" s="29" t="inlineStr">
        <is>
          <t>3</t>
        </is>
      </c>
      <c r="G31" s="29" t="inlineStr">
        <is>
          <t>4</t>
        </is>
      </c>
      <c r="H31" s="29" t="inlineStr">
        <is>
          <t>5</t>
        </is>
      </c>
      <c r="I31" s="29" t="inlineStr">
        <is>
          <t>6</t>
        </is>
      </c>
      <c r="J31" s="29" t="inlineStr">
        <is>
          <t>7</t>
        </is>
      </c>
      <c r="K31" s="29" t="inlineStr">
        <is>
          <t>8</t>
        </is>
      </c>
      <c r="L31" s="29" t="inlineStr">
        <is>
          <t>9</t>
        </is>
      </c>
      <c r="M31" s="29" t="inlineStr">
        <is>
          <t>10</t>
        </is>
      </c>
    </row>
    <row r="32">
      <c r="A32" s="5" t="inlineStr">
        <is>
          <t>Demand kWh/day</t>
        </is>
      </c>
      <c r="B32" s="2" t="n"/>
      <c r="C32" s="2" t="n"/>
      <c r="D32" s="26">
        <f>$C$20*(1+Inputs!$C$19)^(1-1)*Inputs!$C$18</f>
        <v/>
      </c>
      <c r="E32" s="26">
        <f>$C$20*(1+Inputs!$C$19)^(2-1)</f>
        <v/>
      </c>
      <c r="F32" s="26">
        <f>$C$20*(1+Inputs!$C$19)^(3-1)</f>
        <v/>
      </c>
      <c r="G32" s="26">
        <f>$C$20*(1+Inputs!$C$19)^(4-1)</f>
        <v/>
      </c>
      <c r="H32" s="26">
        <f>$C$20*(1+Inputs!$C$19)^(5-1)</f>
        <v/>
      </c>
      <c r="I32" s="26">
        <f>$C$20*(1+Inputs!$C$19)^(6-1)</f>
        <v/>
      </c>
      <c r="J32" s="26">
        <f>$C$20*(1+Inputs!$C$19)^(7-1)</f>
        <v/>
      </c>
      <c r="K32" s="26">
        <f>$C$20*(1+Inputs!$C$19)^(8-1)</f>
        <v/>
      </c>
      <c r="L32" s="26">
        <f>$C$20*(1+Inputs!$C$19)^(9-1)</f>
        <v/>
      </c>
      <c r="M32" s="26">
        <f>$C$20*(1+Inputs!$C$19)^(10-1)</f>
        <v/>
      </c>
    </row>
    <row r="33">
      <c r="A33" s="5" t="inlineStr">
        <is>
          <t>kWh sold per day</t>
        </is>
      </c>
      <c r="B33" s="2" t="n"/>
      <c r="C33" s="2" t="n"/>
      <c r="D33" s="26">
        <f>MIN(D32,$C$17)</f>
        <v/>
      </c>
      <c r="E33" s="26">
        <f>MIN(E32,$C$17)</f>
        <v/>
      </c>
      <c r="F33" s="26">
        <f>MIN(F32,$C$17)</f>
        <v/>
      </c>
      <c r="G33" s="26">
        <f>MIN(G32,$C$17)</f>
        <v/>
      </c>
      <c r="H33" s="26">
        <f>MIN(H32,$C$17)</f>
        <v/>
      </c>
      <c r="I33" s="26">
        <f>MIN(I32,$C$17)</f>
        <v/>
      </c>
      <c r="J33" s="26">
        <f>MIN(J32,$C$17)</f>
        <v/>
      </c>
      <c r="K33" s="26">
        <f>MIN(K32,$C$17)</f>
        <v/>
      </c>
      <c r="L33" s="26">
        <f>MIN(L32,$C$17)</f>
        <v/>
      </c>
      <c r="M33" s="26">
        <f>MIN(M32,$C$17)</f>
        <v/>
      </c>
    </row>
    <row r="34">
      <c r="A34" s="5" t="inlineStr">
        <is>
          <t>Sessions per day</t>
        </is>
      </c>
      <c r="B34" s="2" t="n"/>
      <c r="C34" s="2" t="n"/>
      <c r="D34" s="26">
        <f>D33/Inputs!$C$20</f>
        <v/>
      </c>
      <c r="E34" s="26">
        <f>E33/Inputs!$C$20</f>
        <v/>
      </c>
      <c r="F34" s="26">
        <f>F33/Inputs!$C$20</f>
        <v/>
      </c>
      <c r="G34" s="26">
        <f>G33/Inputs!$C$20</f>
        <v/>
      </c>
      <c r="H34" s="26">
        <f>H33/Inputs!$C$20</f>
        <v/>
      </c>
      <c r="I34" s="26">
        <f>I33/Inputs!$C$20</f>
        <v/>
      </c>
      <c r="J34" s="26">
        <f>J33/Inputs!$C$20</f>
        <v/>
      </c>
      <c r="K34" s="26">
        <f>K33/Inputs!$C$20</f>
        <v/>
      </c>
      <c r="L34" s="26">
        <f>L33/Inputs!$C$20</f>
        <v/>
      </c>
      <c r="M34" s="26">
        <f>M33/Inputs!$C$20</f>
        <v/>
      </c>
    </row>
    <row r="35">
      <c r="A35" s="5" t="inlineStr">
        <is>
          <t>Utilisation (% of hours)</t>
        </is>
      </c>
      <c r="B35" s="2" t="n"/>
      <c r="C35" s="2" t="n"/>
      <c r="D35" s="28">
        <f>D33/$C$18</f>
        <v/>
      </c>
      <c r="E35" s="28">
        <f>E33/$C$18</f>
        <v/>
      </c>
      <c r="F35" s="28">
        <f>F33/$C$18</f>
        <v/>
      </c>
      <c r="G35" s="28">
        <f>G33/$C$18</f>
        <v/>
      </c>
      <c r="H35" s="28">
        <f>H33/$C$18</f>
        <v/>
      </c>
      <c r="I35" s="28">
        <f>I33/$C$18</f>
        <v/>
      </c>
      <c r="J35" s="28">
        <f>J33/$C$18</f>
        <v/>
      </c>
      <c r="K35" s="28">
        <f>K33/$C$18</f>
        <v/>
      </c>
      <c r="L35" s="28">
        <f>L33/$C$18</f>
        <v/>
      </c>
      <c r="M35" s="28">
        <f>M33/$C$18</f>
        <v/>
      </c>
    </row>
    <row r="36">
      <c r="A36" s="5" t="inlineStr">
        <is>
          <t>kWh sold per year</t>
        </is>
      </c>
      <c r="B36" s="2" t="n"/>
      <c r="C36" s="2" t="n"/>
      <c r="D36" s="24">
        <f>D33*365</f>
        <v/>
      </c>
      <c r="E36" s="24">
        <f>E33*365</f>
        <v/>
      </c>
      <c r="F36" s="24">
        <f>F33*365</f>
        <v/>
      </c>
      <c r="G36" s="24">
        <f>G33*365</f>
        <v/>
      </c>
      <c r="H36" s="24">
        <f>H33*365</f>
        <v/>
      </c>
      <c r="I36" s="24">
        <f>I33*365</f>
        <v/>
      </c>
      <c r="J36" s="24">
        <f>J33*365</f>
        <v/>
      </c>
      <c r="K36" s="24">
        <f>K33*365</f>
        <v/>
      </c>
      <c r="L36" s="24">
        <f>L33*365</f>
        <v/>
      </c>
      <c r="M36" s="24">
        <f>M33*365</f>
        <v/>
      </c>
    </row>
    <row r="37">
      <c r="A37" s="4" t="inlineStr">
        <is>
          <t>Revenue</t>
        </is>
      </c>
      <c r="B37" s="2" t="n"/>
      <c r="C37" s="2" t="n"/>
      <c r="D37" s="24">
        <f>D36*$C$21*(1+Inputs!$C$22)^(1-1)</f>
        <v/>
      </c>
      <c r="E37" s="24">
        <f>E36*$C$21*(1+Inputs!$C$22)^(2-1)</f>
        <v/>
      </c>
      <c r="F37" s="24">
        <f>F36*$C$21*(1+Inputs!$C$22)^(3-1)</f>
        <v/>
      </c>
      <c r="G37" s="24">
        <f>G36*$C$21*(1+Inputs!$C$22)^(4-1)</f>
        <v/>
      </c>
      <c r="H37" s="24">
        <f>H36*$C$21*(1+Inputs!$C$22)^(5-1)</f>
        <v/>
      </c>
      <c r="I37" s="24">
        <f>I36*$C$21*(1+Inputs!$C$22)^(6-1)</f>
        <v/>
      </c>
      <c r="J37" s="24">
        <f>J36*$C$21*(1+Inputs!$C$22)^(7-1)</f>
        <v/>
      </c>
      <c r="K37" s="24">
        <f>K36*$C$21*(1+Inputs!$C$22)^(8-1)</f>
        <v/>
      </c>
      <c r="L37" s="24">
        <f>L36*$C$21*(1+Inputs!$C$22)^(9-1)</f>
        <v/>
      </c>
      <c r="M37" s="24">
        <f>M36*$C$21*(1+Inputs!$C$22)^(10-1)</f>
        <v/>
      </c>
    </row>
    <row r="38">
      <c r="A38" s="5" t="inlineStr">
        <is>
          <t>Electricity cost</t>
        </is>
      </c>
      <c r="B38" s="2" t="n"/>
      <c r="C38" s="2" t="n"/>
      <c r="D38" s="24">
        <f>(D36/(1-Inputs!$C$26)*$C$22+$C$23*12)*(1+Inputs!$C$25)^(1-1)</f>
        <v/>
      </c>
      <c r="E38" s="24">
        <f>(E36/(1-Inputs!$C$26)*$C$22+$C$23*12)*(1+Inputs!$C$25)^(2-1)</f>
        <v/>
      </c>
      <c r="F38" s="24">
        <f>(F36/(1-Inputs!$C$26)*$C$22+$C$23*12)*(1+Inputs!$C$25)^(3-1)</f>
        <v/>
      </c>
      <c r="G38" s="24">
        <f>(G36/(1-Inputs!$C$26)*$C$22+$C$23*12)*(1+Inputs!$C$25)^(4-1)</f>
        <v/>
      </c>
      <c r="H38" s="24">
        <f>(H36/(1-Inputs!$C$26)*$C$22+$C$23*12)*(1+Inputs!$C$25)^(5-1)</f>
        <v/>
      </c>
      <c r="I38" s="24">
        <f>(I36/(1-Inputs!$C$26)*$C$22+$C$23*12)*(1+Inputs!$C$25)^(6-1)</f>
        <v/>
      </c>
      <c r="J38" s="24">
        <f>(J36/(1-Inputs!$C$26)*$C$22+$C$23*12)*(1+Inputs!$C$25)^(7-1)</f>
        <v/>
      </c>
      <c r="K38" s="24">
        <f>(K36/(1-Inputs!$C$26)*$C$22+$C$23*12)*(1+Inputs!$C$25)^(8-1)</f>
        <v/>
      </c>
      <c r="L38" s="24">
        <f>(L36/(1-Inputs!$C$26)*$C$22+$C$23*12)*(1+Inputs!$C$25)^(9-1)</f>
        <v/>
      </c>
      <c r="M38" s="24">
        <f>(M36/(1-Inputs!$C$26)*$C$22+$C$23*12)*(1+Inputs!$C$25)^(10-1)</f>
        <v/>
      </c>
    </row>
    <row r="39">
      <c r="A39" s="5" t="inlineStr">
        <is>
          <t>Gross profit</t>
        </is>
      </c>
      <c r="B39" s="2" t="n"/>
      <c r="C39" s="2" t="n"/>
      <c r="D39" s="24">
        <f>D37-D38</f>
        <v/>
      </c>
      <c r="E39" s="24">
        <f>E37-E38</f>
        <v/>
      </c>
      <c r="F39" s="24">
        <f>F37-F38</f>
        <v/>
      </c>
      <c r="G39" s="24">
        <f>G37-G38</f>
        <v/>
      </c>
      <c r="H39" s="24">
        <f>H37-H38</f>
        <v/>
      </c>
      <c r="I39" s="24">
        <f>I37-I38</f>
        <v/>
      </c>
      <c r="J39" s="24">
        <f>J37-J38</f>
        <v/>
      </c>
      <c r="K39" s="24">
        <f>K37-K38</f>
        <v/>
      </c>
      <c r="L39" s="24">
        <f>L37-L38</f>
        <v/>
      </c>
      <c r="M39" s="24">
        <f>M37-M38</f>
        <v/>
      </c>
    </row>
    <row r="40">
      <c r="A40" s="5" t="inlineStr">
        <is>
          <t>Host revenue share</t>
        </is>
      </c>
      <c r="B40" s="2" t="n"/>
      <c r="C40" s="2" t="n"/>
      <c r="D40" s="24">
        <f>D37*$C$24</f>
        <v/>
      </c>
      <c r="E40" s="24">
        <f>E37*$C$24</f>
        <v/>
      </c>
      <c r="F40" s="24">
        <f>F37*$C$24</f>
        <v/>
      </c>
      <c r="G40" s="24">
        <f>G37*$C$24</f>
        <v/>
      </c>
      <c r="H40" s="24">
        <f>H37*$C$24</f>
        <v/>
      </c>
      <c r="I40" s="24">
        <f>I37*$C$24</f>
        <v/>
      </c>
      <c r="J40" s="24">
        <f>J37*$C$24</f>
        <v/>
      </c>
      <c r="K40" s="24">
        <f>K37*$C$24</f>
        <v/>
      </c>
      <c r="L40" s="24">
        <f>L37*$C$24</f>
        <v/>
      </c>
      <c r="M40" s="24">
        <f>M37*$C$24</f>
        <v/>
      </c>
    </row>
    <row r="41">
      <c r="A41" s="5" t="inlineStr">
        <is>
          <t>Staff</t>
        </is>
      </c>
      <c r="B41" s="2" t="n"/>
      <c r="C41" s="2" t="n"/>
      <c r="D41" s="24">
        <f>$C$25*Inputs!$C$29*12*(1+Inputs!$C$35)^(1-1)</f>
        <v/>
      </c>
      <c r="E41" s="24">
        <f>$C$25*Inputs!$C$29*12*(1+Inputs!$C$35)^(2-1)</f>
        <v/>
      </c>
      <c r="F41" s="24">
        <f>$C$25*Inputs!$C$29*12*(1+Inputs!$C$35)^(3-1)</f>
        <v/>
      </c>
      <c r="G41" s="24">
        <f>$C$25*Inputs!$C$29*12*(1+Inputs!$C$35)^(4-1)</f>
        <v/>
      </c>
      <c r="H41" s="24">
        <f>$C$25*Inputs!$C$29*12*(1+Inputs!$C$35)^(5-1)</f>
        <v/>
      </c>
      <c r="I41" s="24">
        <f>$C$25*Inputs!$C$29*12*(1+Inputs!$C$35)^(6-1)</f>
        <v/>
      </c>
      <c r="J41" s="24">
        <f>$C$25*Inputs!$C$29*12*(1+Inputs!$C$35)^(7-1)</f>
        <v/>
      </c>
      <c r="K41" s="24">
        <f>$C$25*Inputs!$C$29*12*(1+Inputs!$C$35)^(8-1)</f>
        <v/>
      </c>
      <c r="L41" s="24">
        <f>$C$25*Inputs!$C$29*12*(1+Inputs!$C$35)^(9-1)</f>
        <v/>
      </c>
      <c r="M41" s="24">
        <f>$C$25*Inputs!$C$29*12*(1+Inputs!$C$35)^(10-1)</f>
        <v/>
      </c>
    </row>
    <row r="42">
      <c r="A42" s="5" t="inlineStr">
        <is>
          <t>Maintenance</t>
        </is>
      </c>
      <c r="B42" s="2" t="n"/>
      <c r="C42" s="2" t="n"/>
      <c r="D42" s="24">
        <f>$C$11*Inputs!$C$30*(1+Inputs!$C$35)^(1-1)</f>
        <v/>
      </c>
      <c r="E42" s="24">
        <f>$C$11*Inputs!$C$30*(1+Inputs!$C$35)^(2-1)</f>
        <v/>
      </c>
      <c r="F42" s="24">
        <f>$C$11*Inputs!$C$30*(1+Inputs!$C$35)^(3-1)</f>
        <v/>
      </c>
      <c r="G42" s="24">
        <f>$C$11*Inputs!$C$30*(1+Inputs!$C$35)^(4-1)</f>
        <v/>
      </c>
      <c r="H42" s="24">
        <f>$C$11*Inputs!$C$30*(1+Inputs!$C$35)^(5-1)</f>
        <v/>
      </c>
      <c r="I42" s="24">
        <f>$C$11*Inputs!$C$30*(1+Inputs!$C$35)^(6-1)</f>
        <v/>
      </c>
      <c r="J42" s="24">
        <f>$C$11*Inputs!$C$30*(1+Inputs!$C$35)^(7-1)</f>
        <v/>
      </c>
      <c r="K42" s="24">
        <f>$C$11*Inputs!$C$30*(1+Inputs!$C$35)^(8-1)</f>
        <v/>
      </c>
      <c r="L42" s="24">
        <f>$C$11*Inputs!$C$30*(1+Inputs!$C$35)^(9-1)</f>
        <v/>
      </c>
      <c r="M42" s="24">
        <f>$C$11*Inputs!$C$30*(1+Inputs!$C$35)^(10-1)</f>
        <v/>
      </c>
    </row>
    <row r="43">
      <c r="A43" s="5" t="inlineStr">
        <is>
          <t>Software / CMS</t>
        </is>
      </c>
      <c r="B43" s="2" t="n"/>
      <c r="C43" s="2" t="n"/>
      <c r="D43" s="24">
        <f>$C$8*Inputs!$C$31*12*(1+Inputs!$C$35)^(1-1)</f>
        <v/>
      </c>
      <c r="E43" s="24">
        <f>$C$8*Inputs!$C$31*12*(1+Inputs!$C$35)^(2-1)</f>
        <v/>
      </c>
      <c r="F43" s="24">
        <f>$C$8*Inputs!$C$31*12*(1+Inputs!$C$35)^(3-1)</f>
        <v/>
      </c>
      <c r="G43" s="24">
        <f>$C$8*Inputs!$C$31*12*(1+Inputs!$C$35)^(4-1)</f>
        <v/>
      </c>
      <c r="H43" s="24">
        <f>$C$8*Inputs!$C$31*12*(1+Inputs!$C$35)^(5-1)</f>
        <v/>
      </c>
      <c r="I43" s="24">
        <f>$C$8*Inputs!$C$31*12*(1+Inputs!$C$35)^(6-1)</f>
        <v/>
      </c>
      <c r="J43" s="24">
        <f>$C$8*Inputs!$C$31*12*(1+Inputs!$C$35)^(7-1)</f>
        <v/>
      </c>
      <c r="K43" s="24">
        <f>$C$8*Inputs!$C$31*12*(1+Inputs!$C$35)^(8-1)</f>
        <v/>
      </c>
      <c r="L43" s="24">
        <f>$C$8*Inputs!$C$31*12*(1+Inputs!$C$35)^(9-1)</f>
        <v/>
      </c>
      <c r="M43" s="24">
        <f>$C$8*Inputs!$C$31*12*(1+Inputs!$C$35)^(10-1)</f>
        <v/>
      </c>
    </row>
    <row r="44">
      <c r="A44" s="5" t="inlineStr">
        <is>
          <t>Payment fees</t>
        </is>
      </c>
      <c r="B44" s="2" t="n"/>
      <c r="C44" s="2" t="n"/>
      <c r="D44" s="24">
        <f>D37*Inputs!$C$32</f>
        <v/>
      </c>
      <c r="E44" s="24">
        <f>E37*Inputs!$C$32</f>
        <v/>
      </c>
      <c r="F44" s="24">
        <f>F37*Inputs!$C$32</f>
        <v/>
      </c>
      <c r="G44" s="24">
        <f>G37*Inputs!$C$32</f>
        <v/>
      </c>
      <c r="H44" s="24">
        <f>H37*Inputs!$C$32</f>
        <v/>
      </c>
      <c r="I44" s="24">
        <f>I37*Inputs!$C$32</f>
        <v/>
      </c>
      <c r="J44" s="24">
        <f>J37*Inputs!$C$32</f>
        <v/>
      </c>
      <c r="K44" s="24">
        <f>K37*Inputs!$C$32</f>
        <v/>
      </c>
      <c r="L44" s="24">
        <f>L37*Inputs!$C$32</f>
        <v/>
      </c>
      <c r="M44" s="24">
        <f>M37*Inputs!$C$32</f>
        <v/>
      </c>
    </row>
    <row r="45">
      <c r="A45" s="5" t="inlineStr">
        <is>
          <t>Insurance</t>
        </is>
      </c>
      <c r="B45" s="2" t="n"/>
      <c r="C45" s="2" t="n"/>
      <c r="D45" s="24">
        <f>$C$16*Inputs!$C$33*(1+Inputs!$C$35)^(1-1)</f>
        <v/>
      </c>
      <c r="E45" s="24">
        <f>$C$16*Inputs!$C$33*(1+Inputs!$C$35)^(2-1)</f>
        <v/>
      </c>
      <c r="F45" s="24">
        <f>$C$16*Inputs!$C$33*(1+Inputs!$C$35)^(3-1)</f>
        <v/>
      </c>
      <c r="G45" s="24">
        <f>$C$16*Inputs!$C$33*(1+Inputs!$C$35)^(4-1)</f>
        <v/>
      </c>
      <c r="H45" s="24">
        <f>$C$16*Inputs!$C$33*(1+Inputs!$C$35)^(5-1)</f>
        <v/>
      </c>
      <c r="I45" s="24">
        <f>$C$16*Inputs!$C$33*(1+Inputs!$C$35)^(6-1)</f>
        <v/>
      </c>
      <c r="J45" s="24">
        <f>$C$16*Inputs!$C$33*(1+Inputs!$C$35)^(7-1)</f>
        <v/>
      </c>
      <c r="K45" s="24">
        <f>$C$16*Inputs!$C$33*(1+Inputs!$C$35)^(8-1)</f>
        <v/>
      </c>
      <c r="L45" s="24">
        <f>$C$16*Inputs!$C$33*(1+Inputs!$C$35)^(9-1)</f>
        <v/>
      </c>
      <c r="M45" s="24">
        <f>$C$16*Inputs!$C$33*(1+Inputs!$C$35)^(10-1)</f>
        <v/>
      </c>
    </row>
    <row r="46">
      <c r="A46" s="5" t="inlineStr">
        <is>
          <t>Misc (internet, cleaning, admin)</t>
        </is>
      </c>
      <c r="B46" s="2" t="n"/>
      <c r="C46" s="2" t="n"/>
      <c r="D46" s="24">
        <f>Inputs!$C$34*12*(1+Inputs!$C$35)^(1-1)</f>
        <v/>
      </c>
      <c r="E46" s="24">
        <f>Inputs!$C$34*12*(1+Inputs!$C$35)^(2-1)</f>
        <v/>
      </c>
      <c r="F46" s="24">
        <f>Inputs!$C$34*12*(1+Inputs!$C$35)^(3-1)</f>
        <v/>
      </c>
      <c r="G46" s="24">
        <f>Inputs!$C$34*12*(1+Inputs!$C$35)^(4-1)</f>
        <v/>
      </c>
      <c r="H46" s="24">
        <f>Inputs!$C$34*12*(1+Inputs!$C$35)^(5-1)</f>
        <v/>
      </c>
      <c r="I46" s="24">
        <f>Inputs!$C$34*12*(1+Inputs!$C$35)^(6-1)</f>
        <v/>
      </c>
      <c r="J46" s="24">
        <f>Inputs!$C$34*12*(1+Inputs!$C$35)^(7-1)</f>
        <v/>
      </c>
      <c r="K46" s="24">
        <f>Inputs!$C$34*12*(1+Inputs!$C$35)^(8-1)</f>
        <v/>
      </c>
      <c r="L46" s="24">
        <f>Inputs!$C$34*12*(1+Inputs!$C$35)^(9-1)</f>
        <v/>
      </c>
      <c r="M46" s="24">
        <f>Inputs!$C$34*12*(1+Inputs!$C$35)^(10-1)</f>
        <v/>
      </c>
    </row>
    <row r="47">
      <c r="A47" s="5" t="inlineStr">
        <is>
          <t>Opex excl. electricity</t>
        </is>
      </c>
      <c r="B47" s="2" t="n"/>
      <c r="C47" s="2" t="n"/>
      <c r="D47" s="24">
        <f>SUM(D40:D46)</f>
        <v/>
      </c>
      <c r="E47" s="24">
        <f>SUM(E40:E46)</f>
        <v/>
      </c>
      <c r="F47" s="24">
        <f>SUM(F40:F46)</f>
        <v/>
      </c>
      <c r="G47" s="24">
        <f>SUM(G40:G46)</f>
        <v/>
      </c>
      <c r="H47" s="24">
        <f>SUM(H40:H46)</f>
        <v/>
      </c>
      <c r="I47" s="24">
        <f>SUM(I40:I46)</f>
        <v/>
      </c>
      <c r="J47" s="24">
        <f>SUM(J40:J46)</f>
        <v/>
      </c>
      <c r="K47" s="24">
        <f>SUM(K40:K46)</f>
        <v/>
      </c>
      <c r="L47" s="24">
        <f>SUM(L40:L46)</f>
        <v/>
      </c>
      <c r="M47" s="24">
        <f>SUM(M40:M46)</f>
        <v/>
      </c>
    </row>
    <row r="48">
      <c r="A48" s="4" t="inlineStr">
        <is>
          <t>EBITDA</t>
        </is>
      </c>
      <c r="B48" s="2" t="n"/>
      <c r="C48" s="2" t="n"/>
      <c r="D48" s="24">
        <f>D39-D47</f>
        <v/>
      </c>
      <c r="E48" s="24">
        <f>E39-E47</f>
        <v/>
      </c>
      <c r="F48" s="24">
        <f>F39-F47</f>
        <v/>
      </c>
      <c r="G48" s="24">
        <f>G39-G47</f>
        <v/>
      </c>
      <c r="H48" s="24">
        <f>H39-H47</f>
        <v/>
      </c>
      <c r="I48" s="24">
        <f>I39-I47</f>
        <v/>
      </c>
      <c r="J48" s="24">
        <f>J39-J47</f>
        <v/>
      </c>
      <c r="K48" s="24">
        <f>K39-K47</f>
        <v/>
      </c>
      <c r="L48" s="24">
        <f>L39-L47</f>
        <v/>
      </c>
      <c r="M48" s="24">
        <f>M39-M47</f>
        <v/>
      </c>
    </row>
    <row r="49">
      <c r="A49" s="5" t="inlineStr">
        <is>
          <t>EBITDA margin</t>
        </is>
      </c>
      <c r="B49" s="2" t="n"/>
      <c r="C49" s="2" t="n"/>
      <c r="D49" s="28">
        <f>IFERROR(D48/D37,0)</f>
        <v/>
      </c>
      <c r="E49" s="28">
        <f>IFERROR(E48/E37,0)</f>
        <v/>
      </c>
      <c r="F49" s="28">
        <f>IFERROR(F48/F37,0)</f>
        <v/>
      </c>
      <c r="G49" s="28">
        <f>IFERROR(G48/G37,0)</f>
        <v/>
      </c>
      <c r="H49" s="28">
        <f>IFERROR(H48/H37,0)</f>
        <v/>
      </c>
      <c r="I49" s="28">
        <f>IFERROR(I48/I37,0)</f>
        <v/>
      </c>
      <c r="J49" s="28">
        <f>IFERROR(J48/J37,0)</f>
        <v/>
      </c>
      <c r="K49" s="28">
        <f>IFERROR(K48/K37,0)</f>
        <v/>
      </c>
      <c r="L49" s="28">
        <f>IFERROR(L48/L37,0)</f>
        <v/>
      </c>
      <c r="M49" s="28">
        <f>IFERROR(M48/M37,0)</f>
        <v/>
      </c>
    </row>
    <row r="50">
      <c r="A50" s="5" t="inlineStr">
        <is>
          <t>Depreciation</t>
        </is>
      </c>
      <c r="B50" s="2" t="n"/>
      <c r="C50" s="2" t="n"/>
      <c r="D50" s="24">
        <f>$C$27</f>
        <v/>
      </c>
      <c r="E50" s="24">
        <f>$C$27</f>
        <v/>
      </c>
      <c r="F50" s="24">
        <f>$C$27</f>
        <v/>
      </c>
      <c r="G50" s="24">
        <f>$C$27</f>
        <v/>
      </c>
      <c r="H50" s="24">
        <f>$C$27</f>
        <v/>
      </c>
      <c r="I50" s="24">
        <f>$C$27</f>
        <v/>
      </c>
      <c r="J50" s="24">
        <f>$C$27</f>
        <v/>
      </c>
      <c r="K50" s="24">
        <f>$C$27</f>
        <v/>
      </c>
      <c r="L50" s="24">
        <f>$C$27</f>
        <v/>
      </c>
      <c r="M50" s="24">
        <f>$C$27</f>
        <v/>
      </c>
    </row>
    <row r="51">
      <c r="A51" s="5" t="inlineStr">
        <is>
          <t>EBIT</t>
        </is>
      </c>
      <c r="B51" s="2" t="n"/>
      <c r="C51" s="2" t="n"/>
      <c r="D51" s="24">
        <f>D48-D50</f>
        <v/>
      </c>
      <c r="E51" s="24">
        <f>E48-E50</f>
        <v/>
      </c>
      <c r="F51" s="24">
        <f>F48-F50</f>
        <v/>
      </c>
      <c r="G51" s="24">
        <f>G48-G50</f>
        <v/>
      </c>
      <c r="H51" s="24">
        <f>H48-H50</f>
        <v/>
      </c>
      <c r="I51" s="24">
        <f>I48-I50</f>
        <v/>
      </c>
      <c r="J51" s="24">
        <f>J48-J50</f>
        <v/>
      </c>
      <c r="K51" s="24">
        <f>K48-K50</f>
        <v/>
      </c>
      <c r="L51" s="24">
        <f>L48-L50</f>
        <v/>
      </c>
      <c r="M51" s="24">
        <f>M48-M50</f>
        <v/>
      </c>
    </row>
    <row r="52">
      <c r="A52" s="5" t="inlineStr">
        <is>
          <t>Tax losses brought forward</t>
        </is>
      </c>
      <c r="B52" s="2" t="n"/>
      <c r="C52" s="2" t="n"/>
      <c r="D52" s="24">
        <f>0</f>
        <v/>
      </c>
      <c r="E52" s="24">
        <f>D52+MAX(0,-D51)-D53</f>
        <v/>
      </c>
      <c r="F52" s="24">
        <f>E52+MAX(0,-E51)-E53</f>
        <v/>
      </c>
      <c r="G52" s="24">
        <f>F52+MAX(0,-F51)-F53</f>
        <v/>
      </c>
      <c r="H52" s="24">
        <f>G52+MAX(0,-G51)-G53</f>
        <v/>
      </c>
      <c r="I52" s="24">
        <f>H52+MAX(0,-H51)-H53</f>
        <v/>
      </c>
      <c r="J52" s="24">
        <f>I52+MAX(0,-I51)-I53</f>
        <v/>
      </c>
      <c r="K52" s="24">
        <f>J52+MAX(0,-J51)-J53</f>
        <v/>
      </c>
      <c r="L52" s="24">
        <f>K52+MAX(0,-K51)-K53</f>
        <v/>
      </c>
      <c r="M52" s="24">
        <f>L52+MAX(0,-L51)-L53</f>
        <v/>
      </c>
    </row>
    <row r="53">
      <c r="A53" s="5" t="inlineStr">
        <is>
          <t>Tax losses used</t>
        </is>
      </c>
      <c r="B53" s="2" t="n"/>
      <c r="C53" s="2" t="n"/>
      <c r="D53" s="24">
        <f>MIN(D52,MAX(0,D51))</f>
        <v/>
      </c>
      <c r="E53" s="24">
        <f>MIN(E52,MAX(0,E51))</f>
        <v/>
      </c>
      <c r="F53" s="24">
        <f>MIN(F52,MAX(0,F51))</f>
        <v/>
      </c>
      <c r="G53" s="24">
        <f>MIN(G52,MAX(0,G51))</f>
        <v/>
      </c>
      <c r="H53" s="24">
        <f>MIN(H52,MAX(0,H51))</f>
        <v/>
      </c>
      <c r="I53" s="24">
        <f>MIN(I52,MAX(0,I51))</f>
        <v/>
      </c>
      <c r="J53" s="24">
        <f>MIN(J52,MAX(0,J51))</f>
        <v/>
      </c>
      <c r="K53" s="24">
        <f>MIN(K52,MAX(0,K51))</f>
        <v/>
      </c>
      <c r="L53" s="24">
        <f>MIN(L52,MAX(0,L51))</f>
        <v/>
      </c>
      <c r="M53" s="24">
        <f>MIN(M52,MAX(0,M51))</f>
        <v/>
      </c>
    </row>
    <row r="54">
      <c r="A54" s="5" t="inlineStr">
        <is>
          <t>Tax</t>
        </is>
      </c>
      <c r="B54" s="2" t="n"/>
      <c r="C54" s="2" t="n"/>
      <c r="D54" s="24">
        <f>MAX(0,D51-D53)*Inputs!$C$41</f>
        <v/>
      </c>
      <c r="E54" s="24">
        <f>MAX(0,E51-E53)*Inputs!$C$41</f>
        <v/>
      </c>
      <c r="F54" s="24">
        <f>MAX(0,F51-F53)*Inputs!$C$41</f>
        <v/>
      </c>
      <c r="G54" s="24">
        <f>MAX(0,G51-G53)*Inputs!$C$41</f>
        <v/>
      </c>
      <c r="H54" s="24">
        <f>MAX(0,H51-H53)*Inputs!$C$41</f>
        <v/>
      </c>
      <c r="I54" s="24">
        <f>MAX(0,I51-I53)*Inputs!$C$41</f>
        <v/>
      </c>
      <c r="J54" s="24">
        <f>MAX(0,J51-J53)*Inputs!$C$41</f>
        <v/>
      </c>
      <c r="K54" s="24">
        <f>MAX(0,K51-K53)*Inputs!$C$41</f>
        <v/>
      </c>
      <c r="L54" s="24">
        <f>MAX(0,L51-L53)*Inputs!$C$41</f>
        <v/>
      </c>
      <c r="M54" s="24">
        <f>MAX(0,M51-M53)*Inputs!$C$41</f>
        <v/>
      </c>
    </row>
    <row r="55">
      <c r="A55" s="5" t="inlineStr">
        <is>
          <t>Free cash flow (EBITDA - tax)</t>
        </is>
      </c>
      <c r="B55" s="2" t="n"/>
      <c r="C55" s="2" t="n"/>
      <c r="D55" s="24">
        <f>D48-D54</f>
        <v/>
      </c>
      <c r="E55" s="24">
        <f>E48-E54</f>
        <v/>
      </c>
      <c r="F55" s="24">
        <f>F48-F54</f>
        <v/>
      </c>
      <c r="G55" s="24">
        <f>G48-G54</f>
        <v/>
      </c>
      <c r="H55" s="24">
        <f>H48-H54</f>
        <v/>
      </c>
      <c r="I55" s="24">
        <f>I48-I54</f>
        <v/>
      </c>
      <c r="J55" s="24">
        <f>J48-J54</f>
        <v/>
      </c>
      <c r="K55" s="24">
        <f>K48-K54</f>
        <v/>
      </c>
      <c r="L55" s="24">
        <f>L48-L54</f>
        <v/>
      </c>
      <c r="M55" s="24">
        <f>M48-M54</f>
        <v/>
      </c>
    </row>
    <row r="56">
      <c r="A56" s="5" t="inlineStr">
        <is>
          <t>CAPEX + working capital</t>
        </is>
      </c>
      <c r="B56" s="2" t="n"/>
      <c r="C56" s="30">
        <f>-($C$16+(D38+D47)/12)</f>
        <v/>
      </c>
      <c r="D56" s="24">
        <f>0</f>
        <v/>
      </c>
      <c r="E56" s="24">
        <f>0</f>
        <v/>
      </c>
      <c r="F56" s="24">
        <f>0</f>
        <v/>
      </c>
      <c r="G56" s="24">
        <f>0</f>
        <v/>
      </c>
      <c r="H56" s="24">
        <f>0</f>
        <v/>
      </c>
      <c r="I56" s="24">
        <f>0</f>
        <v/>
      </c>
      <c r="J56" s="24">
        <f>0</f>
        <v/>
      </c>
      <c r="K56" s="24">
        <f>0</f>
        <v/>
      </c>
      <c r="L56" s="24">
        <f>0</f>
        <v/>
      </c>
      <c r="M56" s="24">
        <f>-C56-$C$16</f>
        <v/>
      </c>
    </row>
    <row r="57">
      <c r="A57" s="4" t="inlineStr">
        <is>
          <t>Net cash flow</t>
        </is>
      </c>
      <c r="B57" s="2" t="n"/>
      <c r="C57" s="30">
        <f>C56</f>
        <v/>
      </c>
      <c r="D57" s="24">
        <f>D55+D56</f>
        <v/>
      </c>
      <c r="E57" s="24">
        <f>E55+E56</f>
        <v/>
      </c>
      <c r="F57" s="24">
        <f>F55+F56</f>
        <v/>
      </c>
      <c r="G57" s="24">
        <f>G55+G56</f>
        <v/>
      </c>
      <c r="H57" s="24">
        <f>H55+H56</f>
        <v/>
      </c>
      <c r="I57" s="24">
        <f>I55+I56</f>
        <v/>
      </c>
      <c r="J57" s="24">
        <f>J55+J56</f>
        <v/>
      </c>
      <c r="K57" s="24">
        <f>K55+K56</f>
        <v/>
      </c>
      <c r="L57" s="24">
        <f>L55+L56</f>
        <v/>
      </c>
      <c r="M57" s="24">
        <f>M55+M56</f>
        <v/>
      </c>
    </row>
    <row r="58">
      <c r="A58" s="5" t="inlineStr">
        <is>
          <t>Cumulative cash flow</t>
        </is>
      </c>
      <c r="B58" s="2" t="n"/>
      <c r="C58" s="30">
        <f>C57</f>
        <v/>
      </c>
      <c r="D58" s="24">
        <f>C58+D57</f>
        <v/>
      </c>
      <c r="E58" s="24">
        <f>D58+E57</f>
        <v/>
      </c>
      <c r="F58" s="24">
        <f>E58+F57</f>
        <v/>
      </c>
      <c r="G58" s="24">
        <f>F58+G57</f>
        <v/>
      </c>
      <c r="H58" s="24">
        <f>G58+H57</f>
        <v/>
      </c>
      <c r="I58" s="24">
        <f>H58+I57</f>
        <v/>
      </c>
      <c r="J58" s="24">
        <f>I58+J57</f>
        <v/>
      </c>
      <c r="K58" s="24">
        <f>J58+K57</f>
        <v/>
      </c>
      <c r="L58" s="24">
        <f>K58+L57</f>
        <v/>
      </c>
      <c r="M58" s="24">
        <f>L58+M57</f>
        <v/>
      </c>
    </row>
    <row r="59">
      <c r="A59" s="5" t="inlineStr">
        <is>
          <t>Payback helper</t>
        </is>
      </c>
      <c r="B59" s="2" t="n"/>
      <c r="C59" s="2" t="n"/>
      <c r="D59" s="24">
        <f>IF(AND(C58&lt;0,D58&gt;=0),1-1-C58/D57,"")</f>
        <v/>
      </c>
      <c r="E59" s="24">
        <f>IF(AND(D58&lt;0,E58&gt;=0),2-1-D58/E57,"")</f>
        <v/>
      </c>
      <c r="F59" s="24">
        <f>IF(AND(E58&lt;0,F58&gt;=0),3-1-E58/F57,"")</f>
        <v/>
      </c>
      <c r="G59" s="24">
        <f>IF(AND(F58&lt;0,G58&gt;=0),4-1-F58/G57,"")</f>
        <v/>
      </c>
      <c r="H59" s="24">
        <f>IF(AND(G58&lt;0,H58&gt;=0),5-1-G58/H57,"")</f>
        <v/>
      </c>
      <c r="I59" s="24">
        <f>IF(AND(H58&lt;0,I58&gt;=0),6-1-H58/I57,"")</f>
        <v/>
      </c>
      <c r="J59" s="24">
        <f>IF(AND(I58&lt;0,J58&gt;=0),7-1-I58/J57,"")</f>
        <v/>
      </c>
      <c r="K59" s="24">
        <f>IF(AND(J58&lt;0,K58&gt;=0),8-1-J58/K57,"")</f>
        <v/>
      </c>
      <c r="L59" s="24">
        <f>IF(AND(K58&lt;0,L58&gt;=0),9-1-K58/L57,"")</f>
        <v/>
      </c>
      <c r="M59" s="24">
        <f>IF(AND(L58&lt;0,M58&gt;=0),10-1-L58/M57,"")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4" t="inlineStr">
        <is>
          <t>OUTPUTS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4" t="inlineStr">
        <is>
          <t>NPV (Rs)</t>
        </is>
      </c>
      <c r="B62" s="2" t="n"/>
      <c r="C62" s="31">
        <f>NPV($C$26,D57:M57)+C57</f>
        <v/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4" t="inlineStr">
        <is>
          <t>IRR</t>
        </is>
      </c>
      <c r="B63" s="2" t="n"/>
      <c r="C63" s="32">
        <f>IF(SUM(C57:M57)&lt;0,"n/a (never recovers)",IFERROR(IRR(C57:M57,0.1),"n/a"))</f>
        <v/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4" t="inlineStr">
        <is>
          <t>Payback (years)</t>
        </is>
      </c>
      <c r="B64" s="2" t="n"/>
      <c r="C64" s="33">
        <f>IF(COUNT(D59:M59)=0,"Not within 10 years",MIN(D59:M59))</f>
        <v/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5" t="inlineStr">
        <is>
          <t>Year-1 utilisation</t>
        </is>
      </c>
      <c r="B65" s="2" t="n"/>
      <c r="C65" s="28">
        <f>D35</f>
        <v/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5" t="inlineStr">
        <is>
          <t>Year-5 utilisation</t>
        </is>
      </c>
      <c r="B66" s="2" t="n"/>
      <c r="C66" s="28">
        <f>H35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5" t="inlineStr">
        <is>
          <t>Year-1 revenue (Rs)</t>
        </is>
      </c>
      <c r="B67" s="2" t="n"/>
      <c r="C67" s="24">
        <f>D37</f>
        <v/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5" t="inlineStr">
        <is>
          <t>Year-1 EBITDA (Rs)</t>
        </is>
      </c>
      <c r="B68" s="2" t="n"/>
      <c r="C68" s="24">
        <f>D48</f>
        <v/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 t="inlineStr">
        <is>
          <t>Year-5 EBITDA (Rs)</t>
        </is>
      </c>
      <c r="B69" s="2" t="n"/>
      <c r="C69" s="24">
        <f>H48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5" t="inlineStr">
        <is>
          <t>Year-5 EBITDA margin</t>
        </is>
      </c>
      <c r="B70" s="2" t="n"/>
      <c r="C70" s="28">
        <f>H49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5" t="inlineStr">
        <is>
          <t>Contribution per kWh, year 1 (Rs)</t>
        </is>
      </c>
      <c r="B71" s="2" t="n"/>
      <c r="C71" s="27">
        <f>$C$21*(1-$C$24-Inputs!$C$32)-$C$22/(1-Inputs!$C$26)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5" t="inlineStr">
        <is>
          <t>Fixed costs, year 1 (Rs)</t>
        </is>
      </c>
      <c r="B72" s="2" t="n"/>
      <c r="C72" s="24">
        <f>D41+D42+D43+D45+D46+$C$23*12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5" t="inlineStr">
        <is>
          <t>EBITDA break-even, kWh/day</t>
        </is>
      </c>
      <c r="B73" s="2" t="n"/>
      <c r="C73" s="26">
        <f>IF(C71&gt;0,C72/C71/365,"n/a")</f>
        <v/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5" t="inlineStr">
        <is>
          <t>EBITDA break-even, sessions/day</t>
        </is>
      </c>
      <c r="B74" s="2" t="n"/>
      <c r="C74" s="26">
        <f>IFERROR(C73/Inputs!$C$20,"n/a")</f>
        <v/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5" t="inlineStr">
        <is>
          <t>EBITDA break-even, utilisation</t>
        </is>
      </c>
      <c r="B75" s="2" t="n"/>
      <c r="C75" s="28">
        <f>IFERROR(C73/$C$18,"n/a")</f>
        <v/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Delhi - base scenario - station model (all formulas)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Green = link to Inputs, black = calculation. Change inputs on the Inputs sheet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Configuration</t>
        </is>
      </c>
      <c r="B4" s="2" t="n"/>
      <c r="C4" s="20">
        <f>Inputs!$C$4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60 kW DC chargers</t>
        </is>
      </c>
      <c r="B5" s="2" t="n"/>
      <c r="C5" s="21">
        <f>INDEX(Inputs!$C$63:$C$65,MATCH(C4,Inputs!$A$63:$A$65,0))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120 kW DC chargers</t>
        </is>
      </c>
      <c r="B6" s="2" t="n"/>
      <c r="C6" s="21">
        <f>INDEX(Inputs!$D$63:$D$65,MATCH(C4,Inputs!$A$63:$A$65,0))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7.4 kW AC chargers</t>
        </is>
      </c>
      <c r="B7" s="2" t="n"/>
      <c r="C7" s="21">
        <f>INDEX(Inputs!$E$63:$E$65,MATCH(C4,Inputs!$A$63:$A$65,0))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Total chargers</t>
        </is>
      </c>
      <c r="B8" s="2" t="n"/>
      <c r="C8" s="21">
        <f>C5+C6+C7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5" t="inlineStr">
        <is>
          <t>Total connected kW</t>
        </is>
      </c>
      <c r="B9" s="2" t="n"/>
      <c r="C9" s="22">
        <f>C5*60+C6*120+C7*7.4</f>
        <v/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 t="inlineStr">
        <is>
          <t>CAPEX multiplier (scenario x control)</t>
        </is>
      </c>
      <c r="B10" s="2" t="n"/>
      <c r="C10" s="23">
        <f>Inputs!$D$36*Inputs!$C$8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 t="inlineStr">
        <is>
          <t>Chargers (Rs)</t>
        </is>
      </c>
      <c r="B11" s="2" t="n"/>
      <c r="C11" s="24">
        <f>(C5*Inputs!$C$50+C6*Inputs!$C$51+C7*Inputs!$C$52)*C10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5" t="inlineStr">
        <is>
          <t>Grid connection work (Rs)</t>
        </is>
      </c>
      <c r="B12" s="2" t="n"/>
      <c r="C12" s="24">
        <f>INDEX(Inputs!$G$63:$G$65,MATCH(C4,Inputs!$A$63:$A$65,0))*100000*C10*Inputs!$C$9</f>
        <v/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5" t="inlineStr">
        <is>
          <t>Civil &amp; installation (Rs)</t>
        </is>
      </c>
      <c r="B13" s="2" t="n"/>
      <c r="C13" s="24">
        <f>((C5+C6)*Inputs!$C$53+C7*Inputs!$C$54)*C10</f>
        <v/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5" t="inlineStr">
        <is>
          <t>Signage, software set-up, permits (Rs)</t>
        </is>
      </c>
      <c r="B14" s="2" t="n"/>
      <c r="C14" s="24">
        <f>Inputs!$C$55+Inputs!$C$56+Inputs!$C$57</f>
        <v/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 t="inlineStr">
        <is>
          <t>Contingency (Rs)</t>
        </is>
      </c>
      <c r="B15" s="2" t="n"/>
      <c r="C15" s="24">
        <f>SUM(C11:C14)*Inputs!$D$37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TOTAL CAPEX (Rs)</t>
        </is>
      </c>
      <c r="B16" s="2" t="n"/>
      <c r="C16" s="25">
        <f>SUM(C11:C15)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5" t="inlineStr">
        <is>
          <t>Capacity, kWh/day (at max practical utilisation)</t>
        </is>
      </c>
      <c r="B17" s="2" t="n"/>
      <c r="C17" s="26">
        <f>C9*Inputs!$D$39*24*Inputs!$D$40*Inputs!$D$38</f>
        <v/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5" t="inlineStr">
        <is>
          <t>Energy if in use 24h, kWh/day (for utilisation %)</t>
        </is>
      </c>
      <c r="B18" s="2" t="n"/>
      <c r="C18" s="26">
        <f>C9*Inputs!$D$39*24</f>
        <v/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 t="inlineStr">
        <is>
          <t>Fair share of public demand, kWh/day</t>
        </is>
      </c>
      <c r="B19" s="2" t="n"/>
      <c r="C19" s="26">
        <f>Inputs!$D$15/Inputs!$D$16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 t="inlineStr">
        <is>
          <t>Steady demand year 1, kWh/day</t>
        </is>
      </c>
      <c r="B20" s="2" t="n"/>
      <c r="C20" s="26">
        <f>C19*Inputs!$D$17*Inputs!$C$5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5" t="inlineStr">
        <is>
          <t>Price net of GST year 1 (Rs/kWh)</t>
        </is>
      </c>
      <c r="B21" s="2" t="n"/>
      <c r="C21" s="27">
        <f>Inputs!$D$21*Inputs!$C$6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5" t="inlineStr">
        <is>
          <t>Electricity tariff year 1 (Rs/kWh)</t>
        </is>
      </c>
      <c r="B22" s="2" t="n"/>
      <c r="C22" s="27">
        <f>Inputs!$D$23*Inputs!$C$7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5" t="inlineStr">
        <is>
          <t>Fixed electricity charge (Rs/month)</t>
        </is>
      </c>
      <c r="B23" s="2" t="n"/>
      <c r="C23" s="24">
        <f>IF(AND(FALSE,C9&gt;150),0,Inputs!$D$24)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5" t="inlineStr">
        <is>
          <t>Host revenue share</t>
        </is>
      </c>
      <c r="B24" s="2" t="n"/>
      <c r="C24" s="28">
        <f>IF(Inputs!$C$11="",Inputs!$D$27,Inputs!$C$11)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5" t="inlineStr">
        <is>
          <t>Staff FTE</t>
        </is>
      </c>
      <c r="B25" s="2" t="n"/>
      <c r="C25" s="22">
        <f>IF(Inputs!$C$10="",Inputs!$D$28,Inputs!$C$10)</f>
        <v/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 t="inlineStr">
        <is>
          <t>Discount rate (CAPM: Rf + beta x ERP)</t>
        </is>
      </c>
      <c r="B26" s="2" t="n"/>
      <c r="C26" s="28">
        <f>IF(Inputs!$C$12="",Inputs!$D$44+Inputs!$D$46*Inputs!$D$45,Inputs!$C$12)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5" t="inlineStr">
        <is>
          <t>Annual depreciation (Rs)</t>
        </is>
      </c>
      <c r="B27" s="2" t="n"/>
      <c r="C27" s="24">
        <f>C16/Inputs!$D$42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4" t="inlineStr">
        <is>
          <t>ANNUAL PROJECTION (Rs unless stated)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Year</t>
        </is>
      </c>
      <c r="B31" s="2" t="n"/>
      <c r="C31" s="29" t="inlineStr">
        <is>
          <t>0</t>
        </is>
      </c>
      <c r="D31" s="29" t="inlineStr">
        <is>
          <t>1</t>
        </is>
      </c>
      <c r="E31" s="29" t="inlineStr">
        <is>
          <t>2</t>
        </is>
      </c>
      <c r="F31" s="29" t="inlineStr">
        <is>
          <t>3</t>
        </is>
      </c>
      <c r="G31" s="29" t="inlineStr">
        <is>
          <t>4</t>
        </is>
      </c>
      <c r="H31" s="29" t="inlineStr">
        <is>
          <t>5</t>
        </is>
      </c>
      <c r="I31" s="29" t="inlineStr">
        <is>
          <t>6</t>
        </is>
      </c>
      <c r="J31" s="29" t="inlineStr">
        <is>
          <t>7</t>
        </is>
      </c>
      <c r="K31" s="29" t="inlineStr">
        <is>
          <t>8</t>
        </is>
      </c>
      <c r="L31" s="29" t="inlineStr">
        <is>
          <t>9</t>
        </is>
      </c>
      <c r="M31" s="29" t="inlineStr">
        <is>
          <t>10</t>
        </is>
      </c>
    </row>
    <row r="32">
      <c r="A32" s="5" t="inlineStr">
        <is>
          <t>Demand kWh/day</t>
        </is>
      </c>
      <c r="B32" s="2" t="n"/>
      <c r="C32" s="2" t="n"/>
      <c r="D32" s="26">
        <f>$C$20*(1+Inputs!$D$19)^(1-1)*Inputs!$D$18</f>
        <v/>
      </c>
      <c r="E32" s="26">
        <f>$C$20*(1+Inputs!$D$19)^(2-1)</f>
        <v/>
      </c>
      <c r="F32" s="26">
        <f>$C$20*(1+Inputs!$D$19)^(3-1)</f>
        <v/>
      </c>
      <c r="G32" s="26">
        <f>$C$20*(1+Inputs!$D$19)^(4-1)</f>
        <v/>
      </c>
      <c r="H32" s="26">
        <f>$C$20*(1+Inputs!$D$19)^(5-1)</f>
        <v/>
      </c>
      <c r="I32" s="26">
        <f>$C$20*(1+Inputs!$D$19)^(6-1)</f>
        <v/>
      </c>
      <c r="J32" s="26">
        <f>$C$20*(1+Inputs!$D$19)^(7-1)</f>
        <v/>
      </c>
      <c r="K32" s="26">
        <f>$C$20*(1+Inputs!$D$19)^(8-1)</f>
        <v/>
      </c>
      <c r="L32" s="26">
        <f>$C$20*(1+Inputs!$D$19)^(9-1)</f>
        <v/>
      </c>
      <c r="M32" s="26">
        <f>$C$20*(1+Inputs!$D$19)^(10-1)</f>
        <v/>
      </c>
    </row>
    <row r="33">
      <c r="A33" s="5" t="inlineStr">
        <is>
          <t>kWh sold per day</t>
        </is>
      </c>
      <c r="B33" s="2" t="n"/>
      <c r="C33" s="2" t="n"/>
      <c r="D33" s="26">
        <f>MIN(D32,$C$17)</f>
        <v/>
      </c>
      <c r="E33" s="26">
        <f>MIN(E32,$C$17)</f>
        <v/>
      </c>
      <c r="F33" s="26">
        <f>MIN(F32,$C$17)</f>
        <v/>
      </c>
      <c r="G33" s="26">
        <f>MIN(G32,$C$17)</f>
        <v/>
      </c>
      <c r="H33" s="26">
        <f>MIN(H32,$C$17)</f>
        <v/>
      </c>
      <c r="I33" s="26">
        <f>MIN(I32,$C$17)</f>
        <v/>
      </c>
      <c r="J33" s="26">
        <f>MIN(J32,$C$17)</f>
        <v/>
      </c>
      <c r="K33" s="26">
        <f>MIN(K32,$C$17)</f>
        <v/>
      </c>
      <c r="L33" s="26">
        <f>MIN(L32,$C$17)</f>
        <v/>
      </c>
      <c r="M33" s="26">
        <f>MIN(M32,$C$17)</f>
        <v/>
      </c>
    </row>
    <row r="34">
      <c r="A34" s="5" t="inlineStr">
        <is>
          <t>Sessions per day</t>
        </is>
      </c>
      <c r="B34" s="2" t="n"/>
      <c r="C34" s="2" t="n"/>
      <c r="D34" s="26">
        <f>D33/Inputs!$D$20</f>
        <v/>
      </c>
      <c r="E34" s="26">
        <f>E33/Inputs!$D$20</f>
        <v/>
      </c>
      <c r="F34" s="26">
        <f>F33/Inputs!$D$20</f>
        <v/>
      </c>
      <c r="G34" s="26">
        <f>G33/Inputs!$D$20</f>
        <v/>
      </c>
      <c r="H34" s="26">
        <f>H33/Inputs!$D$20</f>
        <v/>
      </c>
      <c r="I34" s="26">
        <f>I33/Inputs!$D$20</f>
        <v/>
      </c>
      <c r="J34" s="26">
        <f>J33/Inputs!$D$20</f>
        <v/>
      </c>
      <c r="K34" s="26">
        <f>K33/Inputs!$D$20</f>
        <v/>
      </c>
      <c r="L34" s="26">
        <f>L33/Inputs!$D$20</f>
        <v/>
      </c>
      <c r="M34" s="26">
        <f>M33/Inputs!$D$20</f>
        <v/>
      </c>
    </row>
    <row r="35">
      <c r="A35" s="5" t="inlineStr">
        <is>
          <t>Utilisation (% of hours)</t>
        </is>
      </c>
      <c r="B35" s="2" t="n"/>
      <c r="C35" s="2" t="n"/>
      <c r="D35" s="28">
        <f>D33/$C$18</f>
        <v/>
      </c>
      <c r="E35" s="28">
        <f>E33/$C$18</f>
        <v/>
      </c>
      <c r="F35" s="28">
        <f>F33/$C$18</f>
        <v/>
      </c>
      <c r="G35" s="28">
        <f>G33/$C$18</f>
        <v/>
      </c>
      <c r="H35" s="28">
        <f>H33/$C$18</f>
        <v/>
      </c>
      <c r="I35" s="28">
        <f>I33/$C$18</f>
        <v/>
      </c>
      <c r="J35" s="28">
        <f>J33/$C$18</f>
        <v/>
      </c>
      <c r="K35" s="28">
        <f>K33/$C$18</f>
        <v/>
      </c>
      <c r="L35" s="28">
        <f>L33/$C$18</f>
        <v/>
      </c>
      <c r="M35" s="28">
        <f>M33/$C$18</f>
        <v/>
      </c>
    </row>
    <row r="36">
      <c r="A36" s="5" t="inlineStr">
        <is>
          <t>kWh sold per year</t>
        </is>
      </c>
      <c r="B36" s="2" t="n"/>
      <c r="C36" s="2" t="n"/>
      <c r="D36" s="24">
        <f>D33*365</f>
        <v/>
      </c>
      <c r="E36" s="24">
        <f>E33*365</f>
        <v/>
      </c>
      <c r="F36" s="24">
        <f>F33*365</f>
        <v/>
      </c>
      <c r="G36" s="24">
        <f>G33*365</f>
        <v/>
      </c>
      <c r="H36" s="24">
        <f>H33*365</f>
        <v/>
      </c>
      <c r="I36" s="24">
        <f>I33*365</f>
        <v/>
      </c>
      <c r="J36" s="24">
        <f>J33*365</f>
        <v/>
      </c>
      <c r="K36" s="24">
        <f>K33*365</f>
        <v/>
      </c>
      <c r="L36" s="24">
        <f>L33*365</f>
        <v/>
      </c>
      <c r="M36" s="24">
        <f>M33*365</f>
        <v/>
      </c>
    </row>
    <row r="37">
      <c r="A37" s="4" t="inlineStr">
        <is>
          <t>Revenue</t>
        </is>
      </c>
      <c r="B37" s="2" t="n"/>
      <c r="C37" s="2" t="n"/>
      <c r="D37" s="24">
        <f>D36*$C$21*(1+Inputs!$D$22)^(1-1)</f>
        <v/>
      </c>
      <c r="E37" s="24">
        <f>E36*$C$21*(1+Inputs!$D$22)^(2-1)</f>
        <v/>
      </c>
      <c r="F37" s="24">
        <f>F36*$C$21*(1+Inputs!$D$22)^(3-1)</f>
        <v/>
      </c>
      <c r="G37" s="24">
        <f>G36*$C$21*(1+Inputs!$D$22)^(4-1)</f>
        <v/>
      </c>
      <c r="H37" s="24">
        <f>H36*$C$21*(1+Inputs!$D$22)^(5-1)</f>
        <v/>
      </c>
      <c r="I37" s="24">
        <f>I36*$C$21*(1+Inputs!$D$22)^(6-1)</f>
        <v/>
      </c>
      <c r="J37" s="24">
        <f>J36*$C$21*(1+Inputs!$D$22)^(7-1)</f>
        <v/>
      </c>
      <c r="K37" s="24">
        <f>K36*$C$21*(1+Inputs!$D$22)^(8-1)</f>
        <v/>
      </c>
      <c r="L37" s="24">
        <f>L36*$C$21*(1+Inputs!$D$22)^(9-1)</f>
        <v/>
      </c>
      <c r="M37" s="24">
        <f>M36*$C$21*(1+Inputs!$D$22)^(10-1)</f>
        <v/>
      </c>
    </row>
    <row r="38">
      <c r="A38" s="5" t="inlineStr">
        <is>
          <t>Electricity cost</t>
        </is>
      </c>
      <c r="B38" s="2" t="n"/>
      <c r="C38" s="2" t="n"/>
      <c r="D38" s="24">
        <f>(D36/(1-Inputs!$D$26)*$C$22+$C$23*12)*(1+Inputs!$D$25)^(1-1)</f>
        <v/>
      </c>
      <c r="E38" s="24">
        <f>(E36/(1-Inputs!$D$26)*$C$22+$C$23*12)*(1+Inputs!$D$25)^(2-1)</f>
        <v/>
      </c>
      <c r="F38" s="24">
        <f>(F36/(1-Inputs!$D$26)*$C$22+$C$23*12)*(1+Inputs!$D$25)^(3-1)</f>
        <v/>
      </c>
      <c r="G38" s="24">
        <f>(G36/(1-Inputs!$D$26)*$C$22+$C$23*12)*(1+Inputs!$D$25)^(4-1)</f>
        <v/>
      </c>
      <c r="H38" s="24">
        <f>(H36/(1-Inputs!$D$26)*$C$22+$C$23*12)*(1+Inputs!$D$25)^(5-1)</f>
        <v/>
      </c>
      <c r="I38" s="24">
        <f>(I36/(1-Inputs!$D$26)*$C$22+$C$23*12)*(1+Inputs!$D$25)^(6-1)</f>
        <v/>
      </c>
      <c r="J38" s="24">
        <f>(J36/(1-Inputs!$D$26)*$C$22+$C$23*12)*(1+Inputs!$D$25)^(7-1)</f>
        <v/>
      </c>
      <c r="K38" s="24">
        <f>(K36/(1-Inputs!$D$26)*$C$22+$C$23*12)*(1+Inputs!$D$25)^(8-1)</f>
        <v/>
      </c>
      <c r="L38" s="24">
        <f>(L36/(1-Inputs!$D$26)*$C$22+$C$23*12)*(1+Inputs!$D$25)^(9-1)</f>
        <v/>
      </c>
      <c r="M38" s="24">
        <f>(M36/(1-Inputs!$D$26)*$C$22+$C$23*12)*(1+Inputs!$D$25)^(10-1)</f>
        <v/>
      </c>
    </row>
    <row r="39">
      <c r="A39" s="5" t="inlineStr">
        <is>
          <t>Gross profit</t>
        </is>
      </c>
      <c r="B39" s="2" t="n"/>
      <c r="C39" s="2" t="n"/>
      <c r="D39" s="24">
        <f>D37-D38</f>
        <v/>
      </c>
      <c r="E39" s="24">
        <f>E37-E38</f>
        <v/>
      </c>
      <c r="F39" s="24">
        <f>F37-F38</f>
        <v/>
      </c>
      <c r="G39" s="24">
        <f>G37-G38</f>
        <v/>
      </c>
      <c r="H39" s="24">
        <f>H37-H38</f>
        <v/>
      </c>
      <c r="I39" s="24">
        <f>I37-I38</f>
        <v/>
      </c>
      <c r="J39" s="24">
        <f>J37-J38</f>
        <v/>
      </c>
      <c r="K39" s="24">
        <f>K37-K38</f>
        <v/>
      </c>
      <c r="L39" s="24">
        <f>L37-L38</f>
        <v/>
      </c>
      <c r="M39" s="24">
        <f>M37-M38</f>
        <v/>
      </c>
    </row>
    <row r="40">
      <c r="A40" s="5" t="inlineStr">
        <is>
          <t>Host revenue share</t>
        </is>
      </c>
      <c r="B40" s="2" t="n"/>
      <c r="C40" s="2" t="n"/>
      <c r="D40" s="24">
        <f>D37*$C$24</f>
        <v/>
      </c>
      <c r="E40" s="24">
        <f>E37*$C$24</f>
        <v/>
      </c>
      <c r="F40" s="24">
        <f>F37*$C$24</f>
        <v/>
      </c>
      <c r="G40" s="24">
        <f>G37*$C$24</f>
        <v/>
      </c>
      <c r="H40" s="24">
        <f>H37*$C$24</f>
        <v/>
      </c>
      <c r="I40" s="24">
        <f>I37*$C$24</f>
        <v/>
      </c>
      <c r="J40" s="24">
        <f>J37*$C$24</f>
        <v/>
      </c>
      <c r="K40" s="24">
        <f>K37*$C$24</f>
        <v/>
      </c>
      <c r="L40" s="24">
        <f>L37*$C$24</f>
        <v/>
      </c>
      <c r="M40" s="24">
        <f>M37*$C$24</f>
        <v/>
      </c>
    </row>
    <row r="41">
      <c r="A41" s="5" t="inlineStr">
        <is>
          <t>Staff</t>
        </is>
      </c>
      <c r="B41" s="2" t="n"/>
      <c r="C41" s="2" t="n"/>
      <c r="D41" s="24">
        <f>$C$25*Inputs!$D$29*12*(1+Inputs!$D$35)^(1-1)</f>
        <v/>
      </c>
      <c r="E41" s="24">
        <f>$C$25*Inputs!$D$29*12*(1+Inputs!$D$35)^(2-1)</f>
        <v/>
      </c>
      <c r="F41" s="24">
        <f>$C$25*Inputs!$D$29*12*(1+Inputs!$D$35)^(3-1)</f>
        <v/>
      </c>
      <c r="G41" s="24">
        <f>$C$25*Inputs!$D$29*12*(1+Inputs!$D$35)^(4-1)</f>
        <v/>
      </c>
      <c r="H41" s="24">
        <f>$C$25*Inputs!$D$29*12*(1+Inputs!$D$35)^(5-1)</f>
        <v/>
      </c>
      <c r="I41" s="24">
        <f>$C$25*Inputs!$D$29*12*(1+Inputs!$D$35)^(6-1)</f>
        <v/>
      </c>
      <c r="J41" s="24">
        <f>$C$25*Inputs!$D$29*12*(1+Inputs!$D$35)^(7-1)</f>
        <v/>
      </c>
      <c r="K41" s="24">
        <f>$C$25*Inputs!$D$29*12*(1+Inputs!$D$35)^(8-1)</f>
        <v/>
      </c>
      <c r="L41" s="24">
        <f>$C$25*Inputs!$D$29*12*(1+Inputs!$D$35)^(9-1)</f>
        <v/>
      </c>
      <c r="M41" s="24">
        <f>$C$25*Inputs!$D$29*12*(1+Inputs!$D$35)^(10-1)</f>
        <v/>
      </c>
    </row>
    <row r="42">
      <c r="A42" s="5" t="inlineStr">
        <is>
          <t>Maintenance</t>
        </is>
      </c>
      <c r="B42" s="2" t="n"/>
      <c r="C42" s="2" t="n"/>
      <c r="D42" s="24">
        <f>$C$11*Inputs!$D$30*(1+Inputs!$D$35)^(1-1)</f>
        <v/>
      </c>
      <c r="E42" s="24">
        <f>$C$11*Inputs!$D$30*(1+Inputs!$D$35)^(2-1)</f>
        <v/>
      </c>
      <c r="F42" s="24">
        <f>$C$11*Inputs!$D$30*(1+Inputs!$D$35)^(3-1)</f>
        <v/>
      </c>
      <c r="G42" s="24">
        <f>$C$11*Inputs!$D$30*(1+Inputs!$D$35)^(4-1)</f>
        <v/>
      </c>
      <c r="H42" s="24">
        <f>$C$11*Inputs!$D$30*(1+Inputs!$D$35)^(5-1)</f>
        <v/>
      </c>
      <c r="I42" s="24">
        <f>$C$11*Inputs!$D$30*(1+Inputs!$D$35)^(6-1)</f>
        <v/>
      </c>
      <c r="J42" s="24">
        <f>$C$11*Inputs!$D$30*(1+Inputs!$D$35)^(7-1)</f>
        <v/>
      </c>
      <c r="K42" s="24">
        <f>$C$11*Inputs!$D$30*(1+Inputs!$D$35)^(8-1)</f>
        <v/>
      </c>
      <c r="L42" s="24">
        <f>$C$11*Inputs!$D$30*(1+Inputs!$D$35)^(9-1)</f>
        <v/>
      </c>
      <c r="M42" s="24">
        <f>$C$11*Inputs!$D$30*(1+Inputs!$D$35)^(10-1)</f>
        <v/>
      </c>
    </row>
    <row r="43">
      <c r="A43" s="5" t="inlineStr">
        <is>
          <t>Software / CMS</t>
        </is>
      </c>
      <c r="B43" s="2" t="n"/>
      <c r="C43" s="2" t="n"/>
      <c r="D43" s="24">
        <f>$C$8*Inputs!$D$31*12*(1+Inputs!$D$35)^(1-1)</f>
        <v/>
      </c>
      <c r="E43" s="24">
        <f>$C$8*Inputs!$D$31*12*(1+Inputs!$D$35)^(2-1)</f>
        <v/>
      </c>
      <c r="F43" s="24">
        <f>$C$8*Inputs!$D$31*12*(1+Inputs!$D$35)^(3-1)</f>
        <v/>
      </c>
      <c r="G43" s="24">
        <f>$C$8*Inputs!$D$31*12*(1+Inputs!$D$35)^(4-1)</f>
        <v/>
      </c>
      <c r="H43" s="24">
        <f>$C$8*Inputs!$D$31*12*(1+Inputs!$D$35)^(5-1)</f>
        <v/>
      </c>
      <c r="I43" s="24">
        <f>$C$8*Inputs!$D$31*12*(1+Inputs!$D$35)^(6-1)</f>
        <v/>
      </c>
      <c r="J43" s="24">
        <f>$C$8*Inputs!$D$31*12*(1+Inputs!$D$35)^(7-1)</f>
        <v/>
      </c>
      <c r="K43" s="24">
        <f>$C$8*Inputs!$D$31*12*(1+Inputs!$D$35)^(8-1)</f>
        <v/>
      </c>
      <c r="L43" s="24">
        <f>$C$8*Inputs!$D$31*12*(1+Inputs!$D$35)^(9-1)</f>
        <v/>
      </c>
      <c r="M43" s="24">
        <f>$C$8*Inputs!$D$31*12*(1+Inputs!$D$35)^(10-1)</f>
        <v/>
      </c>
    </row>
    <row r="44">
      <c r="A44" s="5" t="inlineStr">
        <is>
          <t>Payment fees</t>
        </is>
      </c>
      <c r="B44" s="2" t="n"/>
      <c r="C44" s="2" t="n"/>
      <c r="D44" s="24">
        <f>D37*Inputs!$D$32</f>
        <v/>
      </c>
      <c r="E44" s="24">
        <f>E37*Inputs!$D$32</f>
        <v/>
      </c>
      <c r="F44" s="24">
        <f>F37*Inputs!$D$32</f>
        <v/>
      </c>
      <c r="G44" s="24">
        <f>G37*Inputs!$D$32</f>
        <v/>
      </c>
      <c r="H44" s="24">
        <f>H37*Inputs!$D$32</f>
        <v/>
      </c>
      <c r="I44" s="24">
        <f>I37*Inputs!$D$32</f>
        <v/>
      </c>
      <c r="J44" s="24">
        <f>J37*Inputs!$D$32</f>
        <v/>
      </c>
      <c r="K44" s="24">
        <f>K37*Inputs!$D$32</f>
        <v/>
      </c>
      <c r="L44" s="24">
        <f>L37*Inputs!$D$32</f>
        <v/>
      </c>
      <c r="M44" s="24">
        <f>M37*Inputs!$D$32</f>
        <v/>
      </c>
    </row>
    <row r="45">
      <c r="A45" s="5" t="inlineStr">
        <is>
          <t>Insurance</t>
        </is>
      </c>
      <c r="B45" s="2" t="n"/>
      <c r="C45" s="2" t="n"/>
      <c r="D45" s="24">
        <f>$C$16*Inputs!$D$33*(1+Inputs!$D$35)^(1-1)</f>
        <v/>
      </c>
      <c r="E45" s="24">
        <f>$C$16*Inputs!$D$33*(1+Inputs!$D$35)^(2-1)</f>
        <v/>
      </c>
      <c r="F45" s="24">
        <f>$C$16*Inputs!$D$33*(1+Inputs!$D$35)^(3-1)</f>
        <v/>
      </c>
      <c r="G45" s="24">
        <f>$C$16*Inputs!$D$33*(1+Inputs!$D$35)^(4-1)</f>
        <v/>
      </c>
      <c r="H45" s="24">
        <f>$C$16*Inputs!$D$33*(1+Inputs!$D$35)^(5-1)</f>
        <v/>
      </c>
      <c r="I45" s="24">
        <f>$C$16*Inputs!$D$33*(1+Inputs!$D$35)^(6-1)</f>
        <v/>
      </c>
      <c r="J45" s="24">
        <f>$C$16*Inputs!$D$33*(1+Inputs!$D$35)^(7-1)</f>
        <v/>
      </c>
      <c r="K45" s="24">
        <f>$C$16*Inputs!$D$33*(1+Inputs!$D$35)^(8-1)</f>
        <v/>
      </c>
      <c r="L45" s="24">
        <f>$C$16*Inputs!$D$33*(1+Inputs!$D$35)^(9-1)</f>
        <v/>
      </c>
      <c r="M45" s="24">
        <f>$C$16*Inputs!$D$33*(1+Inputs!$D$35)^(10-1)</f>
        <v/>
      </c>
    </row>
    <row r="46">
      <c r="A46" s="5" t="inlineStr">
        <is>
          <t>Misc (internet, cleaning, admin)</t>
        </is>
      </c>
      <c r="B46" s="2" t="n"/>
      <c r="C46" s="2" t="n"/>
      <c r="D46" s="24">
        <f>Inputs!$D$34*12*(1+Inputs!$D$35)^(1-1)</f>
        <v/>
      </c>
      <c r="E46" s="24">
        <f>Inputs!$D$34*12*(1+Inputs!$D$35)^(2-1)</f>
        <v/>
      </c>
      <c r="F46" s="24">
        <f>Inputs!$D$34*12*(1+Inputs!$D$35)^(3-1)</f>
        <v/>
      </c>
      <c r="G46" s="24">
        <f>Inputs!$D$34*12*(1+Inputs!$D$35)^(4-1)</f>
        <v/>
      </c>
      <c r="H46" s="24">
        <f>Inputs!$D$34*12*(1+Inputs!$D$35)^(5-1)</f>
        <v/>
      </c>
      <c r="I46" s="24">
        <f>Inputs!$D$34*12*(1+Inputs!$D$35)^(6-1)</f>
        <v/>
      </c>
      <c r="J46" s="24">
        <f>Inputs!$D$34*12*(1+Inputs!$D$35)^(7-1)</f>
        <v/>
      </c>
      <c r="K46" s="24">
        <f>Inputs!$D$34*12*(1+Inputs!$D$35)^(8-1)</f>
        <v/>
      </c>
      <c r="L46" s="24">
        <f>Inputs!$D$34*12*(1+Inputs!$D$35)^(9-1)</f>
        <v/>
      </c>
      <c r="M46" s="24">
        <f>Inputs!$D$34*12*(1+Inputs!$D$35)^(10-1)</f>
        <v/>
      </c>
    </row>
    <row r="47">
      <c r="A47" s="5" t="inlineStr">
        <is>
          <t>Opex excl. electricity</t>
        </is>
      </c>
      <c r="B47" s="2" t="n"/>
      <c r="C47" s="2" t="n"/>
      <c r="D47" s="24">
        <f>SUM(D40:D46)</f>
        <v/>
      </c>
      <c r="E47" s="24">
        <f>SUM(E40:E46)</f>
        <v/>
      </c>
      <c r="F47" s="24">
        <f>SUM(F40:F46)</f>
        <v/>
      </c>
      <c r="G47" s="24">
        <f>SUM(G40:G46)</f>
        <v/>
      </c>
      <c r="H47" s="24">
        <f>SUM(H40:H46)</f>
        <v/>
      </c>
      <c r="I47" s="24">
        <f>SUM(I40:I46)</f>
        <v/>
      </c>
      <c r="J47" s="24">
        <f>SUM(J40:J46)</f>
        <v/>
      </c>
      <c r="K47" s="24">
        <f>SUM(K40:K46)</f>
        <v/>
      </c>
      <c r="L47" s="24">
        <f>SUM(L40:L46)</f>
        <v/>
      </c>
      <c r="M47" s="24">
        <f>SUM(M40:M46)</f>
        <v/>
      </c>
    </row>
    <row r="48">
      <c r="A48" s="4" t="inlineStr">
        <is>
          <t>EBITDA</t>
        </is>
      </c>
      <c r="B48" s="2" t="n"/>
      <c r="C48" s="2" t="n"/>
      <c r="D48" s="24">
        <f>D39-D47</f>
        <v/>
      </c>
      <c r="E48" s="24">
        <f>E39-E47</f>
        <v/>
      </c>
      <c r="F48" s="24">
        <f>F39-F47</f>
        <v/>
      </c>
      <c r="G48" s="24">
        <f>G39-G47</f>
        <v/>
      </c>
      <c r="H48" s="24">
        <f>H39-H47</f>
        <v/>
      </c>
      <c r="I48" s="24">
        <f>I39-I47</f>
        <v/>
      </c>
      <c r="J48" s="24">
        <f>J39-J47</f>
        <v/>
      </c>
      <c r="K48" s="24">
        <f>K39-K47</f>
        <v/>
      </c>
      <c r="L48" s="24">
        <f>L39-L47</f>
        <v/>
      </c>
      <c r="M48" s="24">
        <f>M39-M47</f>
        <v/>
      </c>
    </row>
    <row r="49">
      <c r="A49" s="5" t="inlineStr">
        <is>
          <t>EBITDA margin</t>
        </is>
      </c>
      <c r="B49" s="2" t="n"/>
      <c r="C49" s="2" t="n"/>
      <c r="D49" s="28">
        <f>IFERROR(D48/D37,0)</f>
        <v/>
      </c>
      <c r="E49" s="28">
        <f>IFERROR(E48/E37,0)</f>
        <v/>
      </c>
      <c r="F49" s="28">
        <f>IFERROR(F48/F37,0)</f>
        <v/>
      </c>
      <c r="G49" s="28">
        <f>IFERROR(G48/G37,0)</f>
        <v/>
      </c>
      <c r="H49" s="28">
        <f>IFERROR(H48/H37,0)</f>
        <v/>
      </c>
      <c r="I49" s="28">
        <f>IFERROR(I48/I37,0)</f>
        <v/>
      </c>
      <c r="J49" s="28">
        <f>IFERROR(J48/J37,0)</f>
        <v/>
      </c>
      <c r="K49" s="28">
        <f>IFERROR(K48/K37,0)</f>
        <v/>
      </c>
      <c r="L49" s="28">
        <f>IFERROR(L48/L37,0)</f>
        <v/>
      </c>
      <c r="M49" s="28">
        <f>IFERROR(M48/M37,0)</f>
        <v/>
      </c>
    </row>
    <row r="50">
      <c r="A50" s="5" t="inlineStr">
        <is>
          <t>Depreciation</t>
        </is>
      </c>
      <c r="B50" s="2" t="n"/>
      <c r="C50" s="2" t="n"/>
      <c r="D50" s="24">
        <f>$C$27</f>
        <v/>
      </c>
      <c r="E50" s="24">
        <f>$C$27</f>
        <v/>
      </c>
      <c r="F50" s="24">
        <f>$C$27</f>
        <v/>
      </c>
      <c r="G50" s="24">
        <f>$C$27</f>
        <v/>
      </c>
      <c r="H50" s="24">
        <f>$C$27</f>
        <v/>
      </c>
      <c r="I50" s="24">
        <f>$C$27</f>
        <v/>
      </c>
      <c r="J50" s="24">
        <f>$C$27</f>
        <v/>
      </c>
      <c r="K50" s="24">
        <f>$C$27</f>
        <v/>
      </c>
      <c r="L50" s="24">
        <f>$C$27</f>
        <v/>
      </c>
      <c r="M50" s="24">
        <f>$C$27</f>
        <v/>
      </c>
    </row>
    <row r="51">
      <c r="A51" s="5" t="inlineStr">
        <is>
          <t>EBIT</t>
        </is>
      </c>
      <c r="B51" s="2" t="n"/>
      <c r="C51" s="2" t="n"/>
      <c r="D51" s="24">
        <f>D48-D50</f>
        <v/>
      </c>
      <c r="E51" s="24">
        <f>E48-E50</f>
        <v/>
      </c>
      <c r="F51" s="24">
        <f>F48-F50</f>
        <v/>
      </c>
      <c r="G51" s="24">
        <f>G48-G50</f>
        <v/>
      </c>
      <c r="H51" s="24">
        <f>H48-H50</f>
        <v/>
      </c>
      <c r="I51" s="24">
        <f>I48-I50</f>
        <v/>
      </c>
      <c r="J51" s="24">
        <f>J48-J50</f>
        <v/>
      </c>
      <c r="K51" s="24">
        <f>K48-K50</f>
        <v/>
      </c>
      <c r="L51" s="24">
        <f>L48-L50</f>
        <v/>
      </c>
      <c r="M51" s="24">
        <f>M48-M50</f>
        <v/>
      </c>
    </row>
    <row r="52">
      <c r="A52" s="5" t="inlineStr">
        <is>
          <t>Tax losses brought forward</t>
        </is>
      </c>
      <c r="B52" s="2" t="n"/>
      <c r="C52" s="2" t="n"/>
      <c r="D52" s="24">
        <f>0</f>
        <v/>
      </c>
      <c r="E52" s="24">
        <f>D52+MAX(0,-D51)-D53</f>
        <v/>
      </c>
      <c r="F52" s="24">
        <f>E52+MAX(0,-E51)-E53</f>
        <v/>
      </c>
      <c r="G52" s="24">
        <f>F52+MAX(0,-F51)-F53</f>
        <v/>
      </c>
      <c r="H52" s="24">
        <f>G52+MAX(0,-G51)-G53</f>
        <v/>
      </c>
      <c r="I52" s="24">
        <f>H52+MAX(0,-H51)-H53</f>
        <v/>
      </c>
      <c r="J52" s="24">
        <f>I52+MAX(0,-I51)-I53</f>
        <v/>
      </c>
      <c r="K52" s="24">
        <f>J52+MAX(0,-J51)-J53</f>
        <v/>
      </c>
      <c r="L52" s="24">
        <f>K52+MAX(0,-K51)-K53</f>
        <v/>
      </c>
      <c r="M52" s="24">
        <f>L52+MAX(0,-L51)-L53</f>
        <v/>
      </c>
    </row>
    <row r="53">
      <c r="A53" s="5" t="inlineStr">
        <is>
          <t>Tax losses used</t>
        </is>
      </c>
      <c r="B53" s="2" t="n"/>
      <c r="C53" s="2" t="n"/>
      <c r="D53" s="24">
        <f>MIN(D52,MAX(0,D51))</f>
        <v/>
      </c>
      <c r="E53" s="24">
        <f>MIN(E52,MAX(0,E51))</f>
        <v/>
      </c>
      <c r="F53" s="24">
        <f>MIN(F52,MAX(0,F51))</f>
        <v/>
      </c>
      <c r="G53" s="24">
        <f>MIN(G52,MAX(0,G51))</f>
        <v/>
      </c>
      <c r="H53" s="24">
        <f>MIN(H52,MAX(0,H51))</f>
        <v/>
      </c>
      <c r="I53" s="24">
        <f>MIN(I52,MAX(0,I51))</f>
        <v/>
      </c>
      <c r="J53" s="24">
        <f>MIN(J52,MAX(0,J51))</f>
        <v/>
      </c>
      <c r="K53" s="24">
        <f>MIN(K52,MAX(0,K51))</f>
        <v/>
      </c>
      <c r="L53" s="24">
        <f>MIN(L52,MAX(0,L51))</f>
        <v/>
      </c>
      <c r="M53" s="24">
        <f>MIN(M52,MAX(0,M51))</f>
        <v/>
      </c>
    </row>
    <row r="54">
      <c r="A54" s="5" t="inlineStr">
        <is>
          <t>Tax</t>
        </is>
      </c>
      <c r="B54" s="2" t="n"/>
      <c r="C54" s="2" t="n"/>
      <c r="D54" s="24">
        <f>MAX(0,D51-D53)*Inputs!$D$41</f>
        <v/>
      </c>
      <c r="E54" s="24">
        <f>MAX(0,E51-E53)*Inputs!$D$41</f>
        <v/>
      </c>
      <c r="F54" s="24">
        <f>MAX(0,F51-F53)*Inputs!$D$41</f>
        <v/>
      </c>
      <c r="G54" s="24">
        <f>MAX(0,G51-G53)*Inputs!$D$41</f>
        <v/>
      </c>
      <c r="H54" s="24">
        <f>MAX(0,H51-H53)*Inputs!$D$41</f>
        <v/>
      </c>
      <c r="I54" s="24">
        <f>MAX(0,I51-I53)*Inputs!$D$41</f>
        <v/>
      </c>
      <c r="J54" s="24">
        <f>MAX(0,J51-J53)*Inputs!$D$41</f>
        <v/>
      </c>
      <c r="K54" s="24">
        <f>MAX(0,K51-K53)*Inputs!$D$41</f>
        <v/>
      </c>
      <c r="L54" s="24">
        <f>MAX(0,L51-L53)*Inputs!$D$41</f>
        <v/>
      </c>
      <c r="M54" s="24">
        <f>MAX(0,M51-M53)*Inputs!$D$41</f>
        <v/>
      </c>
    </row>
    <row r="55">
      <c r="A55" s="5" t="inlineStr">
        <is>
          <t>Free cash flow (EBITDA - tax)</t>
        </is>
      </c>
      <c r="B55" s="2" t="n"/>
      <c r="C55" s="2" t="n"/>
      <c r="D55" s="24">
        <f>D48-D54</f>
        <v/>
      </c>
      <c r="E55" s="24">
        <f>E48-E54</f>
        <v/>
      </c>
      <c r="F55" s="24">
        <f>F48-F54</f>
        <v/>
      </c>
      <c r="G55" s="24">
        <f>G48-G54</f>
        <v/>
      </c>
      <c r="H55" s="24">
        <f>H48-H54</f>
        <v/>
      </c>
      <c r="I55" s="24">
        <f>I48-I54</f>
        <v/>
      </c>
      <c r="J55" s="24">
        <f>J48-J54</f>
        <v/>
      </c>
      <c r="K55" s="24">
        <f>K48-K54</f>
        <v/>
      </c>
      <c r="L55" s="24">
        <f>L48-L54</f>
        <v/>
      </c>
      <c r="M55" s="24">
        <f>M48-M54</f>
        <v/>
      </c>
    </row>
    <row r="56">
      <c r="A56" s="5" t="inlineStr">
        <is>
          <t>CAPEX + working capital</t>
        </is>
      </c>
      <c r="B56" s="2" t="n"/>
      <c r="C56" s="30">
        <f>-($C$16+(D38+D47)/12)</f>
        <v/>
      </c>
      <c r="D56" s="24">
        <f>0</f>
        <v/>
      </c>
      <c r="E56" s="24">
        <f>0</f>
        <v/>
      </c>
      <c r="F56" s="24">
        <f>0</f>
        <v/>
      </c>
      <c r="G56" s="24">
        <f>0</f>
        <v/>
      </c>
      <c r="H56" s="24">
        <f>0</f>
        <v/>
      </c>
      <c r="I56" s="24">
        <f>0</f>
        <v/>
      </c>
      <c r="J56" s="24">
        <f>0</f>
        <v/>
      </c>
      <c r="K56" s="24">
        <f>0</f>
        <v/>
      </c>
      <c r="L56" s="24">
        <f>0</f>
        <v/>
      </c>
      <c r="M56" s="24">
        <f>-C56-$C$16</f>
        <v/>
      </c>
    </row>
    <row r="57">
      <c r="A57" s="4" t="inlineStr">
        <is>
          <t>Net cash flow</t>
        </is>
      </c>
      <c r="B57" s="2" t="n"/>
      <c r="C57" s="30">
        <f>C56</f>
        <v/>
      </c>
      <c r="D57" s="24">
        <f>D55+D56</f>
        <v/>
      </c>
      <c r="E57" s="24">
        <f>E55+E56</f>
        <v/>
      </c>
      <c r="F57" s="24">
        <f>F55+F56</f>
        <v/>
      </c>
      <c r="G57" s="24">
        <f>G55+G56</f>
        <v/>
      </c>
      <c r="H57" s="24">
        <f>H55+H56</f>
        <v/>
      </c>
      <c r="I57" s="24">
        <f>I55+I56</f>
        <v/>
      </c>
      <c r="J57" s="24">
        <f>J55+J56</f>
        <v/>
      </c>
      <c r="K57" s="24">
        <f>K55+K56</f>
        <v/>
      </c>
      <c r="L57" s="24">
        <f>L55+L56</f>
        <v/>
      </c>
      <c r="M57" s="24">
        <f>M55+M56</f>
        <v/>
      </c>
    </row>
    <row r="58">
      <c r="A58" s="5" t="inlineStr">
        <is>
          <t>Cumulative cash flow</t>
        </is>
      </c>
      <c r="B58" s="2" t="n"/>
      <c r="C58" s="30">
        <f>C57</f>
        <v/>
      </c>
      <c r="D58" s="24">
        <f>C58+D57</f>
        <v/>
      </c>
      <c r="E58" s="24">
        <f>D58+E57</f>
        <v/>
      </c>
      <c r="F58" s="24">
        <f>E58+F57</f>
        <v/>
      </c>
      <c r="G58" s="24">
        <f>F58+G57</f>
        <v/>
      </c>
      <c r="H58" s="24">
        <f>G58+H57</f>
        <v/>
      </c>
      <c r="I58" s="24">
        <f>H58+I57</f>
        <v/>
      </c>
      <c r="J58" s="24">
        <f>I58+J57</f>
        <v/>
      </c>
      <c r="K58" s="24">
        <f>J58+K57</f>
        <v/>
      </c>
      <c r="L58" s="24">
        <f>K58+L57</f>
        <v/>
      </c>
      <c r="M58" s="24">
        <f>L58+M57</f>
        <v/>
      </c>
    </row>
    <row r="59">
      <c r="A59" s="5" t="inlineStr">
        <is>
          <t>Payback helper</t>
        </is>
      </c>
      <c r="B59" s="2" t="n"/>
      <c r="C59" s="2" t="n"/>
      <c r="D59" s="24">
        <f>IF(AND(C58&lt;0,D58&gt;=0),1-1-C58/D57,"")</f>
        <v/>
      </c>
      <c r="E59" s="24">
        <f>IF(AND(D58&lt;0,E58&gt;=0),2-1-D58/E57,"")</f>
        <v/>
      </c>
      <c r="F59" s="24">
        <f>IF(AND(E58&lt;0,F58&gt;=0),3-1-E58/F57,"")</f>
        <v/>
      </c>
      <c r="G59" s="24">
        <f>IF(AND(F58&lt;0,G58&gt;=0),4-1-F58/G57,"")</f>
        <v/>
      </c>
      <c r="H59" s="24">
        <f>IF(AND(G58&lt;0,H58&gt;=0),5-1-G58/H57,"")</f>
        <v/>
      </c>
      <c r="I59" s="24">
        <f>IF(AND(H58&lt;0,I58&gt;=0),6-1-H58/I57,"")</f>
        <v/>
      </c>
      <c r="J59" s="24">
        <f>IF(AND(I58&lt;0,J58&gt;=0),7-1-I58/J57,"")</f>
        <v/>
      </c>
      <c r="K59" s="24">
        <f>IF(AND(J58&lt;0,K58&gt;=0),8-1-J58/K57,"")</f>
        <v/>
      </c>
      <c r="L59" s="24">
        <f>IF(AND(K58&lt;0,L58&gt;=0),9-1-K58/L57,"")</f>
        <v/>
      </c>
      <c r="M59" s="24">
        <f>IF(AND(L58&lt;0,M58&gt;=0),10-1-L58/M57,"")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4" t="inlineStr">
        <is>
          <t>OUTPUTS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4" t="inlineStr">
        <is>
          <t>NPV (Rs)</t>
        </is>
      </c>
      <c r="B62" s="2" t="n"/>
      <c r="C62" s="31">
        <f>NPV($C$26,D57:M57)+C57</f>
        <v/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4" t="inlineStr">
        <is>
          <t>IRR</t>
        </is>
      </c>
      <c r="B63" s="2" t="n"/>
      <c r="C63" s="32">
        <f>IF(SUM(C57:M57)&lt;0,"n/a (never recovers)",IFERROR(IRR(C57:M57,0.1),"n/a"))</f>
        <v/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4" t="inlineStr">
        <is>
          <t>Payback (years)</t>
        </is>
      </c>
      <c r="B64" s="2" t="n"/>
      <c r="C64" s="33">
        <f>IF(COUNT(D59:M59)=0,"Not within 10 years",MIN(D59:M59))</f>
        <v/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5" t="inlineStr">
        <is>
          <t>Year-1 utilisation</t>
        </is>
      </c>
      <c r="B65" s="2" t="n"/>
      <c r="C65" s="28">
        <f>D35</f>
        <v/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5" t="inlineStr">
        <is>
          <t>Year-5 utilisation</t>
        </is>
      </c>
      <c r="B66" s="2" t="n"/>
      <c r="C66" s="28">
        <f>H35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5" t="inlineStr">
        <is>
          <t>Year-1 revenue (Rs)</t>
        </is>
      </c>
      <c r="B67" s="2" t="n"/>
      <c r="C67" s="24">
        <f>D37</f>
        <v/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5" t="inlineStr">
        <is>
          <t>Year-1 EBITDA (Rs)</t>
        </is>
      </c>
      <c r="B68" s="2" t="n"/>
      <c r="C68" s="24">
        <f>D48</f>
        <v/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 t="inlineStr">
        <is>
          <t>Year-5 EBITDA (Rs)</t>
        </is>
      </c>
      <c r="B69" s="2" t="n"/>
      <c r="C69" s="24">
        <f>H48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5" t="inlineStr">
        <is>
          <t>Year-5 EBITDA margin</t>
        </is>
      </c>
      <c r="B70" s="2" t="n"/>
      <c r="C70" s="28">
        <f>H49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5" t="inlineStr">
        <is>
          <t>Contribution per kWh, year 1 (Rs)</t>
        </is>
      </c>
      <c r="B71" s="2" t="n"/>
      <c r="C71" s="27">
        <f>$C$21*(1-$C$24-Inputs!$D$32)-$C$22/(1-Inputs!$D$26)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5" t="inlineStr">
        <is>
          <t>Fixed costs, year 1 (Rs)</t>
        </is>
      </c>
      <c r="B72" s="2" t="n"/>
      <c r="C72" s="24">
        <f>D41+D42+D43+D45+D46+$C$23*12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5" t="inlineStr">
        <is>
          <t>EBITDA break-even, kWh/day</t>
        </is>
      </c>
      <c r="B73" s="2" t="n"/>
      <c r="C73" s="26">
        <f>IF(C71&gt;0,C72/C71/365,"n/a")</f>
        <v/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5" t="inlineStr">
        <is>
          <t>EBITDA break-even, sessions/day</t>
        </is>
      </c>
      <c r="B74" s="2" t="n"/>
      <c r="C74" s="26">
        <f>IFERROR(C73/Inputs!$D$20,"n/a")</f>
        <v/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5" t="inlineStr">
        <is>
          <t>EBITDA break-even, utilisation</t>
        </is>
      </c>
      <c r="B75" s="2" t="n"/>
      <c r="C75" s="28">
        <f>IFERROR(C73/$C$18,"n/a")</f>
        <v/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Delhi - aggressive scenario - station model (all formulas)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Green = link to Inputs, black = calculation. Change inputs on the Inputs sheet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Configuration</t>
        </is>
      </c>
      <c r="B4" s="2" t="n"/>
      <c r="C4" s="20">
        <f>Inputs!$C$4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60 kW DC chargers</t>
        </is>
      </c>
      <c r="B5" s="2" t="n"/>
      <c r="C5" s="21">
        <f>INDEX(Inputs!$C$63:$C$65,MATCH(C4,Inputs!$A$63:$A$65,0))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120 kW DC chargers</t>
        </is>
      </c>
      <c r="B6" s="2" t="n"/>
      <c r="C6" s="21">
        <f>INDEX(Inputs!$D$63:$D$65,MATCH(C4,Inputs!$A$63:$A$65,0))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7.4 kW AC chargers</t>
        </is>
      </c>
      <c r="B7" s="2" t="n"/>
      <c r="C7" s="21">
        <f>INDEX(Inputs!$E$63:$E$65,MATCH(C4,Inputs!$A$63:$A$65,0))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Total chargers</t>
        </is>
      </c>
      <c r="B8" s="2" t="n"/>
      <c r="C8" s="21">
        <f>C5+C6+C7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5" t="inlineStr">
        <is>
          <t>Total connected kW</t>
        </is>
      </c>
      <c r="B9" s="2" t="n"/>
      <c r="C9" s="22">
        <f>C5*60+C6*120+C7*7.4</f>
        <v/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 t="inlineStr">
        <is>
          <t>CAPEX multiplier (scenario x control)</t>
        </is>
      </c>
      <c r="B10" s="2" t="n"/>
      <c r="C10" s="23">
        <f>Inputs!$E$36*Inputs!$C$8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 t="inlineStr">
        <is>
          <t>Chargers (Rs)</t>
        </is>
      </c>
      <c r="B11" s="2" t="n"/>
      <c r="C11" s="24">
        <f>(C5*Inputs!$C$50+C6*Inputs!$C$51+C7*Inputs!$C$52)*C10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5" t="inlineStr">
        <is>
          <t>Grid connection work (Rs)</t>
        </is>
      </c>
      <c r="B12" s="2" t="n"/>
      <c r="C12" s="24">
        <f>INDEX(Inputs!$G$63:$G$65,MATCH(C4,Inputs!$A$63:$A$65,0))*100000*C10*Inputs!$C$9</f>
        <v/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5" t="inlineStr">
        <is>
          <t>Civil &amp; installation (Rs)</t>
        </is>
      </c>
      <c r="B13" s="2" t="n"/>
      <c r="C13" s="24">
        <f>((C5+C6)*Inputs!$C$53+C7*Inputs!$C$54)*C10</f>
        <v/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5" t="inlineStr">
        <is>
          <t>Signage, software set-up, permits (Rs)</t>
        </is>
      </c>
      <c r="B14" s="2" t="n"/>
      <c r="C14" s="24">
        <f>Inputs!$C$55+Inputs!$C$56+Inputs!$C$57</f>
        <v/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 t="inlineStr">
        <is>
          <t>Contingency (Rs)</t>
        </is>
      </c>
      <c r="B15" s="2" t="n"/>
      <c r="C15" s="24">
        <f>SUM(C11:C14)*Inputs!$E$37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TOTAL CAPEX (Rs)</t>
        </is>
      </c>
      <c r="B16" s="2" t="n"/>
      <c r="C16" s="25">
        <f>SUM(C11:C15)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5" t="inlineStr">
        <is>
          <t>Capacity, kWh/day (at max practical utilisation)</t>
        </is>
      </c>
      <c r="B17" s="2" t="n"/>
      <c r="C17" s="26">
        <f>C9*Inputs!$E$39*24*Inputs!$E$40*Inputs!$E$38</f>
        <v/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5" t="inlineStr">
        <is>
          <t>Energy if in use 24h, kWh/day (for utilisation %)</t>
        </is>
      </c>
      <c r="B18" s="2" t="n"/>
      <c r="C18" s="26">
        <f>C9*Inputs!$E$39*24</f>
        <v/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 t="inlineStr">
        <is>
          <t>Fair share of public demand, kWh/day</t>
        </is>
      </c>
      <c r="B19" s="2" t="n"/>
      <c r="C19" s="26">
        <f>Inputs!$E$15/Inputs!$E$16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 t="inlineStr">
        <is>
          <t>Steady demand year 1, kWh/day</t>
        </is>
      </c>
      <c r="B20" s="2" t="n"/>
      <c r="C20" s="26">
        <f>C19*Inputs!$E$17*Inputs!$C$5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5" t="inlineStr">
        <is>
          <t>Price net of GST year 1 (Rs/kWh)</t>
        </is>
      </c>
      <c r="B21" s="2" t="n"/>
      <c r="C21" s="27">
        <f>Inputs!$E$21*Inputs!$C$6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5" t="inlineStr">
        <is>
          <t>Electricity tariff year 1 (Rs/kWh)</t>
        </is>
      </c>
      <c r="B22" s="2" t="n"/>
      <c r="C22" s="27">
        <f>Inputs!$E$23*Inputs!$C$7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5" t="inlineStr">
        <is>
          <t>Fixed electricity charge (Rs/month)</t>
        </is>
      </c>
      <c r="B23" s="2" t="n"/>
      <c r="C23" s="24">
        <f>IF(AND(FALSE,C9&gt;150),0,Inputs!$E$24)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5" t="inlineStr">
        <is>
          <t>Host revenue share</t>
        </is>
      </c>
      <c r="B24" s="2" t="n"/>
      <c r="C24" s="28">
        <f>IF(Inputs!$C$11="",Inputs!$E$27,Inputs!$C$11)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5" t="inlineStr">
        <is>
          <t>Staff FTE</t>
        </is>
      </c>
      <c r="B25" s="2" t="n"/>
      <c r="C25" s="22">
        <f>IF(Inputs!$C$10="",Inputs!$E$28,Inputs!$C$10)</f>
        <v/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 t="inlineStr">
        <is>
          <t>Discount rate (CAPM: Rf + beta x ERP)</t>
        </is>
      </c>
      <c r="B26" s="2" t="n"/>
      <c r="C26" s="28">
        <f>IF(Inputs!$C$12="",Inputs!$E$44+Inputs!$E$46*Inputs!$E$45,Inputs!$C$12)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5" t="inlineStr">
        <is>
          <t>Annual depreciation (Rs)</t>
        </is>
      </c>
      <c r="B27" s="2" t="n"/>
      <c r="C27" s="24">
        <f>C16/Inputs!$E$42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4" t="inlineStr">
        <is>
          <t>ANNUAL PROJECTION (Rs unless stated)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Year</t>
        </is>
      </c>
      <c r="B31" s="2" t="n"/>
      <c r="C31" s="29" t="inlineStr">
        <is>
          <t>0</t>
        </is>
      </c>
      <c r="D31" s="29" t="inlineStr">
        <is>
          <t>1</t>
        </is>
      </c>
      <c r="E31" s="29" t="inlineStr">
        <is>
          <t>2</t>
        </is>
      </c>
      <c r="F31" s="29" t="inlineStr">
        <is>
          <t>3</t>
        </is>
      </c>
      <c r="G31" s="29" t="inlineStr">
        <is>
          <t>4</t>
        </is>
      </c>
      <c r="H31" s="29" t="inlineStr">
        <is>
          <t>5</t>
        </is>
      </c>
      <c r="I31" s="29" t="inlineStr">
        <is>
          <t>6</t>
        </is>
      </c>
      <c r="J31" s="29" t="inlineStr">
        <is>
          <t>7</t>
        </is>
      </c>
      <c r="K31" s="29" t="inlineStr">
        <is>
          <t>8</t>
        </is>
      </c>
      <c r="L31" s="29" t="inlineStr">
        <is>
          <t>9</t>
        </is>
      </c>
      <c r="M31" s="29" t="inlineStr">
        <is>
          <t>10</t>
        </is>
      </c>
    </row>
    <row r="32">
      <c r="A32" s="5" t="inlineStr">
        <is>
          <t>Demand kWh/day</t>
        </is>
      </c>
      <c r="B32" s="2" t="n"/>
      <c r="C32" s="2" t="n"/>
      <c r="D32" s="26">
        <f>$C$20*(1+Inputs!$E$19)^(1-1)*Inputs!$E$18</f>
        <v/>
      </c>
      <c r="E32" s="26">
        <f>$C$20*(1+Inputs!$E$19)^(2-1)</f>
        <v/>
      </c>
      <c r="F32" s="26">
        <f>$C$20*(1+Inputs!$E$19)^(3-1)</f>
        <v/>
      </c>
      <c r="G32" s="26">
        <f>$C$20*(1+Inputs!$E$19)^(4-1)</f>
        <v/>
      </c>
      <c r="H32" s="26">
        <f>$C$20*(1+Inputs!$E$19)^(5-1)</f>
        <v/>
      </c>
      <c r="I32" s="26">
        <f>$C$20*(1+Inputs!$E$19)^(6-1)</f>
        <v/>
      </c>
      <c r="J32" s="26">
        <f>$C$20*(1+Inputs!$E$19)^(7-1)</f>
        <v/>
      </c>
      <c r="K32" s="26">
        <f>$C$20*(1+Inputs!$E$19)^(8-1)</f>
        <v/>
      </c>
      <c r="L32" s="26">
        <f>$C$20*(1+Inputs!$E$19)^(9-1)</f>
        <v/>
      </c>
      <c r="M32" s="26">
        <f>$C$20*(1+Inputs!$E$19)^(10-1)</f>
        <v/>
      </c>
    </row>
    <row r="33">
      <c r="A33" s="5" t="inlineStr">
        <is>
          <t>kWh sold per day</t>
        </is>
      </c>
      <c r="B33" s="2" t="n"/>
      <c r="C33" s="2" t="n"/>
      <c r="D33" s="26">
        <f>MIN(D32,$C$17)</f>
        <v/>
      </c>
      <c r="E33" s="26">
        <f>MIN(E32,$C$17)</f>
        <v/>
      </c>
      <c r="F33" s="26">
        <f>MIN(F32,$C$17)</f>
        <v/>
      </c>
      <c r="G33" s="26">
        <f>MIN(G32,$C$17)</f>
        <v/>
      </c>
      <c r="H33" s="26">
        <f>MIN(H32,$C$17)</f>
        <v/>
      </c>
      <c r="I33" s="26">
        <f>MIN(I32,$C$17)</f>
        <v/>
      </c>
      <c r="J33" s="26">
        <f>MIN(J32,$C$17)</f>
        <v/>
      </c>
      <c r="K33" s="26">
        <f>MIN(K32,$C$17)</f>
        <v/>
      </c>
      <c r="L33" s="26">
        <f>MIN(L32,$C$17)</f>
        <v/>
      </c>
      <c r="M33" s="26">
        <f>MIN(M32,$C$17)</f>
        <v/>
      </c>
    </row>
    <row r="34">
      <c r="A34" s="5" t="inlineStr">
        <is>
          <t>Sessions per day</t>
        </is>
      </c>
      <c r="B34" s="2" t="n"/>
      <c r="C34" s="2" t="n"/>
      <c r="D34" s="26">
        <f>D33/Inputs!$E$20</f>
        <v/>
      </c>
      <c r="E34" s="26">
        <f>E33/Inputs!$E$20</f>
        <v/>
      </c>
      <c r="F34" s="26">
        <f>F33/Inputs!$E$20</f>
        <v/>
      </c>
      <c r="G34" s="26">
        <f>G33/Inputs!$E$20</f>
        <v/>
      </c>
      <c r="H34" s="26">
        <f>H33/Inputs!$E$20</f>
        <v/>
      </c>
      <c r="I34" s="26">
        <f>I33/Inputs!$E$20</f>
        <v/>
      </c>
      <c r="J34" s="26">
        <f>J33/Inputs!$E$20</f>
        <v/>
      </c>
      <c r="K34" s="26">
        <f>K33/Inputs!$E$20</f>
        <v/>
      </c>
      <c r="L34" s="26">
        <f>L33/Inputs!$E$20</f>
        <v/>
      </c>
      <c r="M34" s="26">
        <f>M33/Inputs!$E$20</f>
        <v/>
      </c>
    </row>
    <row r="35">
      <c r="A35" s="5" t="inlineStr">
        <is>
          <t>Utilisation (% of hours)</t>
        </is>
      </c>
      <c r="B35" s="2" t="n"/>
      <c r="C35" s="2" t="n"/>
      <c r="D35" s="28">
        <f>D33/$C$18</f>
        <v/>
      </c>
      <c r="E35" s="28">
        <f>E33/$C$18</f>
        <v/>
      </c>
      <c r="F35" s="28">
        <f>F33/$C$18</f>
        <v/>
      </c>
      <c r="G35" s="28">
        <f>G33/$C$18</f>
        <v/>
      </c>
      <c r="H35" s="28">
        <f>H33/$C$18</f>
        <v/>
      </c>
      <c r="I35" s="28">
        <f>I33/$C$18</f>
        <v/>
      </c>
      <c r="J35" s="28">
        <f>J33/$C$18</f>
        <v/>
      </c>
      <c r="K35" s="28">
        <f>K33/$C$18</f>
        <v/>
      </c>
      <c r="L35" s="28">
        <f>L33/$C$18</f>
        <v/>
      </c>
      <c r="M35" s="28">
        <f>M33/$C$18</f>
        <v/>
      </c>
    </row>
    <row r="36">
      <c r="A36" s="5" t="inlineStr">
        <is>
          <t>kWh sold per year</t>
        </is>
      </c>
      <c r="B36" s="2" t="n"/>
      <c r="C36" s="2" t="n"/>
      <c r="D36" s="24">
        <f>D33*365</f>
        <v/>
      </c>
      <c r="E36" s="24">
        <f>E33*365</f>
        <v/>
      </c>
      <c r="F36" s="24">
        <f>F33*365</f>
        <v/>
      </c>
      <c r="G36" s="24">
        <f>G33*365</f>
        <v/>
      </c>
      <c r="H36" s="24">
        <f>H33*365</f>
        <v/>
      </c>
      <c r="I36" s="24">
        <f>I33*365</f>
        <v/>
      </c>
      <c r="J36" s="24">
        <f>J33*365</f>
        <v/>
      </c>
      <c r="K36" s="24">
        <f>K33*365</f>
        <v/>
      </c>
      <c r="L36" s="24">
        <f>L33*365</f>
        <v/>
      </c>
      <c r="M36" s="24">
        <f>M33*365</f>
        <v/>
      </c>
    </row>
    <row r="37">
      <c r="A37" s="4" t="inlineStr">
        <is>
          <t>Revenue</t>
        </is>
      </c>
      <c r="B37" s="2" t="n"/>
      <c r="C37" s="2" t="n"/>
      <c r="D37" s="24">
        <f>D36*$C$21*(1+Inputs!$E$22)^(1-1)</f>
        <v/>
      </c>
      <c r="E37" s="24">
        <f>E36*$C$21*(1+Inputs!$E$22)^(2-1)</f>
        <v/>
      </c>
      <c r="F37" s="24">
        <f>F36*$C$21*(1+Inputs!$E$22)^(3-1)</f>
        <v/>
      </c>
      <c r="G37" s="24">
        <f>G36*$C$21*(1+Inputs!$E$22)^(4-1)</f>
        <v/>
      </c>
      <c r="H37" s="24">
        <f>H36*$C$21*(1+Inputs!$E$22)^(5-1)</f>
        <v/>
      </c>
      <c r="I37" s="24">
        <f>I36*$C$21*(1+Inputs!$E$22)^(6-1)</f>
        <v/>
      </c>
      <c r="J37" s="24">
        <f>J36*$C$21*(1+Inputs!$E$22)^(7-1)</f>
        <v/>
      </c>
      <c r="K37" s="24">
        <f>K36*$C$21*(1+Inputs!$E$22)^(8-1)</f>
        <v/>
      </c>
      <c r="L37" s="24">
        <f>L36*$C$21*(1+Inputs!$E$22)^(9-1)</f>
        <v/>
      </c>
      <c r="M37" s="24">
        <f>M36*$C$21*(1+Inputs!$E$22)^(10-1)</f>
        <v/>
      </c>
    </row>
    <row r="38">
      <c r="A38" s="5" t="inlineStr">
        <is>
          <t>Electricity cost</t>
        </is>
      </c>
      <c r="B38" s="2" t="n"/>
      <c r="C38" s="2" t="n"/>
      <c r="D38" s="24">
        <f>(D36/(1-Inputs!$E$26)*$C$22+$C$23*12)*(1+Inputs!$E$25)^(1-1)</f>
        <v/>
      </c>
      <c r="E38" s="24">
        <f>(E36/(1-Inputs!$E$26)*$C$22+$C$23*12)*(1+Inputs!$E$25)^(2-1)</f>
        <v/>
      </c>
      <c r="F38" s="24">
        <f>(F36/(1-Inputs!$E$26)*$C$22+$C$23*12)*(1+Inputs!$E$25)^(3-1)</f>
        <v/>
      </c>
      <c r="G38" s="24">
        <f>(G36/(1-Inputs!$E$26)*$C$22+$C$23*12)*(1+Inputs!$E$25)^(4-1)</f>
        <v/>
      </c>
      <c r="H38" s="24">
        <f>(H36/(1-Inputs!$E$26)*$C$22+$C$23*12)*(1+Inputs!$E$25)^(5-1)</f>
        <v/>
      </c>
      <c r="I38" s="24">
        <f>(I36/(1-Inputs!$E$26)*$C$22+$C$23*12)*(1+Inputs!$E$25)^(6-1)</f>
        <v/>
      </c>
      <c r="J38" s="24">
        <f>(J36/(1-Inputs!$E$26)*$C$22+$C$23*12)*(1+Inputs!$E$25)^(7-1)</f>
        <v/>
      </c>
      <c r="K38" s="24">
        <f>(K36/(1-Inputs!$E$26)*$C$22+$C$23*12)*(1+Inputs!$E$25)^(8-1)</f>
        <v/>
      </c>
      <c r="L38" s="24">
        <f>(L36/(1-Inputs!$E$26)*$C$22+$C$23*12)*(1+Inputs!$E$25)^(9-1)</f>
        <v/>
      </c>
      <c r="M38" s="24">
        <f>(M36/(1-Inputs!$E$26)*$C$22+$C$23*12)*(1+Inputs!$E$25)^(10-1)</f>
        <v/>
      </c>
    </row>
    <row r="39">
      <c r="A39" s="5" t="inlineStr">
        <is>
          <t>Gross profit</t>
        </is>
      </c>
      <c r="B39" s="2" t="n"/>
      <c r="C39" s="2" t="n"/>
      <c r="D39" s="24">
        <f>D37-D38</f>
        <v/>
      </c>
      <c r="E39" s="24">
        <f>E37-E38</f>
        <v/>
      </c>
      <c r="F39" s="24">
        <f>F37-F38</f>
        <v/>
      </c>
      <c r="G39" s="24">
        <f>G37-G38</f>
        <v/>
      </c>
      <c r="H39" s="24">
        <f>H37-H38</f>
        <v/>
      </c>
      <c r="I39" s="24">
        <f>I37-I38</f>
        <v/>
      </c>
      <c r="J39" s="24">
        <f>J37-J38</f>
        <v/>
      </c>
      <c r="K39" s="24">
        <f>K37-K38</f>
        <v/>
      </c>
      <c r="L39" s="24">
        <f>L37-L38</f>
        <v/>
      </c>
      <c r="M39" s="24">
        <f>M37-M38</f>
        <v/>
      </c>
    </row>
    <row r="40">
      <c r="A40" s="5" t="inlineStr">
        <is>
          <t>Host revenue share</t>
        </is>
      </c>
      <c r="B40" s="2" t="n"/>
      <c r="C40" s="2" t="n"/>
      <c r="D40" s="24">
        <f>D37*$C$24</f>
        <v/>
      </c>
      <c r="E40" s="24">
        <f>E37*$C$24</f>
        <v/>
      </c>
      <c r="F40" s="24">
        <f>F37*$C$24</f>
        <v/>
      </c>
      <c r="G40" s="24">
        <f>G37*$C$24</f>
        <v/>
      </c>
      <c r="H40" s="24">
        <f>H37*$C$24</f>
        <v/>
      </c>
      <c r="I40" s="24">
        <f>I37*$C$24</f>
        <v/>
      </c>
      <c r="J40" s="24">
        <f>J37*$C$24</f>
        <v/>
      </c>
      <c r="K40" s="24">
        <f>K37*$C$24</f>
        <v/>
      </c>
      <c r="L40" s="24">
        <f>L37*$C$24</f>
        <v/>
      </c>
      <c r="M40" s="24">
        <f>M37*$C$24</f>
        <v/>
      </c>
    </row>
    <row r="41">
      <c r="A41" s="5" t="inlineStr">
        <is>
          <t>Staff</t>
        </is>
      </c>
      <c r="B41" s="2" t="n"/>
      <c r="C41" s="2" t="n"/>
      <c r="D41" s="24">
        <f>$C$25*Inputs!$E$29*12*(1+Inputs!$E$35)^(1-1)</f>
        <v/>
      </c>
      <c r="E41" s="24">
        <f>$C$25*Inputs!$E$29*12*(1+Inputs!$E$35)^(2-1)</f>
        <v/>
      </c>
      <c r="F41" s="24">
        <f>$C$25*Inputs!$E$29*12*(1+Inputs!$E$35)^(3-1)</f>
        <v/>
      </c>
      <c r="G41" s="24">
        <f>$C$25*Inputs!$E$29*12*(1+Inputs!$E$35)^(4-1)</f>
        <v/>
      </c>
      <c r="H41" s="24">
        <f>$C$25*Inputs!$E$29*12*(1+Inputs!$E$35)^(5-1)</f>
        <v/>
      </c>
      <c r="I41" s="24">
        <f>$C$25*Inputs!$E$29*12*(1+Inputs!$E$35)^(6-1)</f>
        <v/>
      </c>
      <c r="J41" s="24">
        <f>$C$25*Inputs!$E$29*12*(1+Inputs!$E$35)^(7-1)</f>
        <v/>
      </c>
      <c r="K41" s="24">
        <f>$C$25*Inputs!$E$29*12*(1+Inputs!$E$35)^(8-1)</f>
        <v/>
      </c>
      <c r="L41" s="24">
        <f>$C$25*Inputs!$E$29*12*(1+Inputs!$E$35)^(9-1)</f>
        <v/>
      </c>
      <c r="M41" s="24">
        <f>$C$25*Inputs!$E$29*12*(1+Inputs!$E$35)^(10-1)</f>
        <v/>
      </c>
    </row>
    <row r="42">
      <c r="A42" s="5" t="inlineStr">
        <is>
          <t>Maintenance</t>
        </is>
      </c>
      <c r="B42" s="2" t="n"/>
      <c r="C42" s="2" t="n"/>
      <c r="D42" s="24">
        <f>$C$11*Inputs!$E$30*(1+Inputs!$E$35)^(1-1)</f>
        <v/>
      </c>
      <c r="E42" s="24">
        <f>$C$11*Inputs!$E$30*(1+Inputs!$E$35)^(2-1)</f>
        <v/>
      </c>
      <c r="F42" s="24">
        <f>$C$11*Inputs!$E$30*(1+Inputs!$E$35)^(3-1)</f>
        <v/>
      </c>
      <c r="G42" s="24">
        <f>$C$11*Inputs!$E$30*(1+Inputs!$E$35)^(4-1)</f>
        <v/>
      </c>
      <c r="H42" s="24">
        <f>$C$11*Inputs!$E$30*(1+Inputs!$E$35)^(5-1)</f>
        <v/>
      </c>
      <c r="I42" s="24">
        <f>$C$11*Inputs!$E$30*(1+Inputs!$E$35)^(6-1)</f>
        <v/>
      </c>
      <c r="J42" s="24">
        <f>$C$11*Inputs!$E$30*(1+Inputs!$E$35)^(7-1)</f>
        <v/>
      </c>
      <c r="K42" s="24">
        <f>$C$11*Inputs!$E$30*(1+Inputs!$E$35)^(8-1)</f>
        <v/>
      </c>
      <c r="L42" s="24">
        <f>$C$11*Inputs!$E$30*(1+Inputs!$E$35)^(9-1)</f>
        <v/>
      </c>
      <c r="M42" s="24">
        <f>$C$11*Inputs!$E$30*(1+Inputs!$E$35)^(10-1)</f>
        <v/>
      </c>
    </row>
    <row r="43">
      <c r="A43" s="5" t="inlineStr">
        <is>
          <t>Software / CMS</t>
        </is>
      </c>
      <c r="B43" s="2" t="n"/>
      <c r="C43" s="2" t="n"/>
      <c r="D43" s="24">
        <f>$C$8*Inputs!$E$31*12*(1+Inputs!$E$35)^(1-1)</f>
        <v/>
      </c>
      <c r="E43" s="24">
        <f>$C$8*Inputs!$E$31*12*(1+Inputs!$E$35)^(2-1)</f>
        <v/>
      </c>
      <c r="F43" s="24">
        <f>$C$8*Inputs!$E$31*12*(1+Inputs!$E$35)^(3-1)</f>
        <v/>
      </c>
      <c r="G43" s="24">
        <f>$C$8*Inputs!$E$31*12*(1+Inputs!$E$35)^(4-1)</f>
        <v/>
      </c>
      <c r="H43" s="24">
        <f>$C$8*Inputs!$E$31*12*(1+Inputs!$E$35)^(5-1)</f>
        <v/>
      </c>
      <c r="I43" s="24">
        <f>$C$8*Inputs!$E$31*12*(1+Inputs!$E$35)^(6-1)</f>
        <v/>
      </c>
      <c r="J43" s="24">
        <f>$C$8*Inputs!$E$31*12*(1+Inputs!$E$35)^(7-1)</f>
        <v/>
      </c>
      <c r="K43" s="24">
        <f>$C$8*Inputs!$E$31*12*(1+Inputs!$E$35)^(8-1)</f>
        <v/>
      </c>
      <c r="L43" s="24">
        <f>$C$8*Inputs!$E$31*12*(1+Inputs!$E$35)^(9-1)</f>
        <v/>
      </c>
      <c r="M43" s="24">
        <f>$C$8*Inputs!$E$31*12*(1+Inputs!$E$35)^(10-1)</f>
        <v/>
      </c>
    </row>
    <row r="44">
      <c r="A44" s="5" t="inlineStr">
        <is>
          <t>Payment fees</t>
        </is>
      </c>
      <c r="B44" s="2" t="n"/>
      <c r="C44" s="2" t="n"/>
      <c r="D44" s="24">
        <f>D37*Inputs!$E$32</f>
        <v/>
      </c>
      <c r="E44" s="24">
        <f>E37*Inputs!$E$32</f>
        <v/>
      </c>
      <c r="F44" s="24">
        <f>F37*Inputs!$E$32</f>
        <v/>
      </c>
      <c r="G44" s="24">
        <f>G37*Inputs!$E$32</f>
        <v/>
      </c>
      <c r="H44" s="24">
        <f>H37*Inputs!$E$32</f>
        <v/>
      </c>
      <c r="I44" s="24">
        <f>I37*Inputs!$E$32</f>
        <v/>
      </c>
      <c r="J44" s="24">
        <f>J37*Inputs!$E$32</f>
        <v/>
      </c>
      <c r="K44" s="24">
        <f>K37*Inputs!$E$32</f>
        <v/>
      </c>
      <c r="L44" s="24">
        <f>L37*Inputs!$E$32</f>
        <v/>
      </c>
      <c r="M44" s="24">
        <f>M37*Inputs!$E$32</f>
        <v/>
      </c>
    </row>
    <row r="45">
      <c r="A45" s="5" t="inlineStr">
        <is>
          <t>Insurance</t>
        </is>
      </c>
      <c r="B45" s="2" t="n"/>
      <c r="C45" s="2" t="n"/>
      <c r="D45" s="24">
        <f>$C$16*Inputs!$E$33*(1+Inputs!$E$35)^(1-1)</f>
        <v/>
      </c>
      <c r="E45" s="24">
        <f>$C$16*Inputs!$E$33*(1+Inputs!$E$35)^(2-1)</f>
        <v/>
      </c>
      <c r="F45" s="24">
        <f>$C$16*Inputs!$E$33*(1+Inputs!$E$35)^(3-1)</f>
        <v/>
      </c>
      <c r="G45" s="24">
        <f>$C$16*Inputs!$E$33*(1+Inputs!$E$35)^(4-1)</f>
        <v/>
      </c>
      <c r="H45" s="24">
        <f>$C$16*Inputs!$E$33*(1+Inputs!$E$35)^(5-1)</f>
        <v/>
      </c>
      <c r="I45" s="24">
        <f>$C$16*Inputs!$E$33*(1+Inputs!$E$35)^(6-1)</f>
        <v/>
      </c>
      <c r="J45" s="24">
        <f>$C$16*Inputs!$E$33*(1+Inputs!$E$35)^(7-1)</f>
        <v/>
      </c>
      <c r="K45" s="24">
        <f>$C$16*Inputs!$E$33*(1+Inputs!$E$35)^(8-1)</f>
        <v/>
      </c>
      <c r="L45" s="24">
        <f>$C$16*Inputs!$E$33*(1+Inputs!$E$35)^(9-1)</f>
        <v/>
      </c>
      <c r="M45" s="24">
        <f>$C$16*Inputs!$E$33*(1+Inputs!$E$35)^(10-1)</f>
        <v/>
      </c>
    </row>
    <row r="46">
      <c r="A46" s="5" t="inlineStr">
        <is>
          <t>Misc (internet, cleaning, admin)</t>
        </is>
      </c>
      <c r="B46" s="2" t="n"/>
      <c r="C46" s="2" t="n"/>
      <c r="D46" s="24">
        <f>Inputs!$E$34*12*(1+Inputs!$E$35)^(1-1)</f>
        <v/>
      </c>
      <c r="E46" s="24">
        <f>Inputs!$E$34*12*(1+Inputs!$E$35)^(2-1)</f>
        <v/>
      </c>
      <c r="F46" s="24">
        <f>Inputs!$E$34*12*(1+Inputs!$E$35)^(3-1)</f>
        <v/>
      </c>
      <c r="G46" s="24">
        <f>Inputs!$E$34*12*(1+Inputs!$E$35)^(4-1)</f>
        <v/>
      </c>
      <c r="H46" s="24">
        <f>Inputs!$E$34*12*(1+Inputs!$E$35)^(5-1)</f>
        <v/>
      </c>
      <c r="I46" s="24">
        <f>Inputs!$E$34*12*(1+Inputs!$E$35)^(6-1)</f>
        <v/>
      </c>
      <c r="J46" s="24">
        <f>Inputs!$E$34*12*(1+Inputs!$E$35)^(7-1)</f>
        <v/>
      </c>
      <c r="K46" s="24">
        <f>Inputs!$E$34*12*(1+Inputs!$E$35)^(8-1)</f>
        <v/>
      </c>
      <c r="L46" s="24">
        <f>Inputs!$E$34*12*(1+Inputs!$E$35)^(9-1)</f>
        <v/>
      </c>
      <c r="M46" s="24">
        <f>Inputs!$E$34*12*(1+Inputs!$E$35)^(10-1)</f>
        <v/>
      </c>
    </row>
    <row r="47">
      <c r="A47" s="5" t="inlineStr">
        <is>
          <t>Opex excl. electricity</t>
        </is>
      </c>
      <c r="B47" s="2" t="n"/>
      <c r="C47" s="2" t="n"/>
      <c r="D47" s="24">
        <f>SUM(D40:D46)</f>
        <v/>
      </c>
      <c r="E47" s="24">
        <f>SUM(E40:E46)</f>
        <v/>
      </c>
      <c r="F47" s="24">
        <f>SUM(F40:F46)</f>
        <v/>
      </c>
      <c r="G47" s="24">
        <f>SUM(G40:G46)</f>
        <v/>
      </c>
      <c r="H47" s="24">
        <f>SUM(H40:H46)</f>
        <v/>
      </c>
      <c r="I47" s="24">
        <f>SUM(I40:I46)</f>
        <v/>
      </c>
      <c r="J47" s="24">
        <f>SUM(J40:J46)</f>
        <v/>
      </c>
      <c r="K47" s="24">
        <f>SUM(K40:K46)</f>
        <v/>
      </c>
      <c r="L47" s="24">
        <f>SUM(L40:L46)</f>
        <v/>
      </c>
      <c r="M47" s="24">
        <f>SUM(M40:M46)</f>
        <v/>
      </c>
    </row>
    <row r="48">
      <c r="A48" s="4" t="inlineStr">
        <is>
          <t>EBITDA</t>
        </is>
      </c>
      <c r="B48" s="2" t="n"/>
      <c r="C48" s="2" t="n"/>
      <c r="D48" s="24">
        <f>D39-D47</f>
        <v/>
      </c>
      <c r="E48" s="24">
        <f>E39-E47</f>
        <v/>
      </c>
      <c r="F48" s="24">
        <f>F39-F47</f>
        <v/>
      </c>
      <c r="G48" s="24">
        <f>G39-G47</f>
        <v/>
      </c>
      <c r="H48" s="24">
        <f>H39-H47</f>
        <v/>
      </c>
      <c r="I48" s="24">
        <f>I39-I47</f>
        <v/>
      </c>
      <c r="J48" s="24">
        <f>J39-J47</f>
        <v/>
      </c>
      <c r="K48" s="24">
        <f>K39-K47</f>
        <v/>
      </c>
      <c r="L48" s="24">
        <f>L39-L47</f>
        <v/>
      </c>
      <c r="M48" s="24">
        <f>M39-M47</f>
        <v/>
      </c>
    </row>
    <row r="49">
      <c r="A49" s="5" t="inlineStr">
        <is>
          <t>EBITDA margin</t>
        </is>
      </c>
      <c r="B49" s="2" t="n"/>
      <c r="C49" s="2" t="n"/>
      <c r="D49" s="28">
        <f>IFERROR(D48/D37,0)</f>
        <v/>
      </c>
      <c r="E49" s="28">
        <f>IFERROR(E48/E37,0)</f>
        <v/>
      </c>
      <c r="F49" s="28">
        <f>IFERROR(F48/F37,0)</f>
        <v/>
      </c>
      <c r="G49" s="28">
        <f>IFERROR(G48/G37,0)</f>
        <v/>
      </c>
      <c r="H49" s="28">
        <f>IFERROR(H48/H37,0)</f>
        <v/>
      </c>
      <c r="I49" s="28">
        <f>IFERROR(I48/I37,0)</f>
        <v/>
      </c>
      <c r="J49" s="28">
        <f>IFERROR(J48/J37,0)</f>
        <v/>
      </c>
      <c r="K49" s="28">
        <f>IFERROR(K48/K37,0)</f>
        <v/>
      </c>
      <c r="L49" s="28">
        <f>IFERROR(L48/L37,0)</f>
        <v/>
      </c>
      <c r="M49" s="28">
        <f>IFERROR(M48/M37,0)</f>
        <v/>
      </c>
    </row>
    <row r="50">
      <c r="A50" s="5" t="inlineStr">
        <is>
          <t>Depreciation</t>
        </is>
      </c>
      <c r="B50" s="2" t="n"/>
      <c r="C50" s="2" t="n"/>
      <c r="D50" s="24">
        <f>$C$27</f>
        <v/>
      </c>
      <c r="E50" s="24">
        <f>$C$27</f>
        <v/>
      </c>
      <c r="F50" s="24">
        <f>$C$27</f>
        <v/>
      </c>
      <c r="G50" s="24">
        <f>$C$27</f>
        <v/>
      </c>
      <c r="H50" s="24">
        <f>$C$27</f>
        <v/>
      </c>
      <c r="I50" s="24">
        <f>$C$27</f>
        <v/>
      </c>
      <c r="J50" s="24">
        <f>$C$27</f>
        <v/>
      </c>
      <c r="K50" s="24">
        <f>$C$27</f>
        <v/>
      </c>
      <c r="L50" s="24">
        <f>$C$27</f>
        <v/>
      </c>
      <c r="M50" s="24">
        <f>$C$27</f>
        <v/>
      </c>
    </row>
    <row r="51">
      <c r="A51" s="5" t="inlineStr">
        <is>
          <t>EBIT</t>
        </is>
      </c>
      <c r="B51" s="2" t="n"/>
      <c r="C51" s="2" t="n"/>
      <c r="D51" s="24">
        <f>D48-D50</f>
        <v/>
      </c>
      <c r="E51" s="24">
        <f>E48-E50</f>
        <v/>
      </c>
      <c r="F51" s="24">
        <f>F48-F50</f>
        <v/>
      </c>
      <c r="G51" s="24">
        <f>G48-G50</f>
        <v/>
      </c>
      <c r="H51" s="24">
        <f>H48-H50</f>
        <v/>
      </c>
      <c r="I51" s="24">
        <f>I48-I50</f>
        <v/>
      </c>
      <c r="J51" s="24">
        <f>J48-J50</f>
        <v/>
      </c>
      <c r="K51" s="24">
        <f>K48-K50</f>
        <v/>
      </c>
      <c r="L51" s="24">
        <f>L48-L50</f>
        <v/>
      </c>
      <c r="M51" s="24">
        <f>M48-M50</f>
        <v/>
      </c>
    </row>
    <row r="52">
      <c r="A52" s="5" t="inlineStr">
        <is>
          <t>Tax losses brought forward</t>
        </is>
      </c>
      <c r="B52" s="2" t="n"/>
      <c r="C52" s="2" t="n"/>
      <c r="D52" s="24">
        <f>0</f>
        <v/>
      </c>
      <c r="E52" s="24">
        <f>D52+MAX(0,-D51)-D53</f>
        <v/>
      </c>
      <c r="F52" s="24">
        <f>E52+MAX(0,-E51)-E53</f>
        <v/>
      </c>
      <c r="G52" s="24">
        <f>F52+MAX(0,-F51)-F53</f>
        <v/>
      </c>
      <c r="H52" s="24">
        <f>G52+MAX(0,-G51)-G53</f>
        <v/>
      </c>
      <c r="I52" s="24">
        <f>H52+MAX(0,-H51)-H53</f>
        <v/>
      </c>
      <c r="J52" s="24">
        <f>I52+MAX(0,-I51)-I53</f>
        <v/>
      </c>
      <c r="K52" s="24">
        <f>J52+MAX(0,-J51)-J53</f>
        <v/>
      </c>
      <c r="L52" s="24">
        <f>K52+MAX(0,-K51)-K53</f>
        <v/>
      </c>
      <c r="M52" s="24">
        <f>L52+MAX(0,-L51)-L53</f>
        <v/>
      </c>
    </row>
    <row r="53">
      <c r="A53" s="5" t="inlineStr">
        <is>
          <t>Tax losses used</t>
        </is>
      </c>
      <c r="B53" s="2" t="n"/>
      <c r="C53" s="2" t="n"/>
      <c r="D53" s="24">
        <f>MIN(D52,MAX(0,D51))</f>
        <v/>
      </c>
      <c r="E53" s="24">
        <f>MIN(E52,MAX(0,E51))</f>
        <v/>
      </c>
      <c r="F53" s="24">
        <f>MIN(F52,MAX(0,F51))</f>
        <v/>
      </c>
      <c r="G53" s="24">
        <f>MIN(G52,MAX(0,G51))</f>
        <v/>
      </c>
      <c r="H53" s="24">
        <f>MIN(H52,MAX(0,H51))</f>
        <v/>
      </c>
      <c r="I53" s="24">
        <f>MIN(I52,MAX(0,I51))</f>
        <v/>
      </c>
      <c r="J53" s="24">
        <f>MIN(J52,MAX(0,J51))</f>
        <v/>
      </c>
      <c r="K53" s="24">
        <f>MIN(K52,MAX(0,K51))</f>
        <v/>
      </c>
      <c r="L53" s="24">
        <f>MIN(L52,MAX(0,L51))</f>
        <v/>
      </c>
      <c r="M53" s="24">
        <f>MIN(M52,MAX(0,M51))</f>
        <v/>
      </c>
    </row>
    <row r="54">
      <c r="A54" s="5" t="inlineStr">
        <is>
          <t>Tax</t>
        </is>
      </c>
      <c r="B54" s="2" t="n"/>
      <c r="C54" s="2" t="n"/>
      <c r="D54" s="24">
        <f>MAX(0,D51-D53)*Inputs!$E$41</f>
        <v/>
      </c>
      <c r="E54" s="24">
        <f>MAX(0,E51-E53)*Inputs!$E$41</f>
        <v/>
      </c>
      <c r="F54" s="24">
        <f>MAX(0,F51-F53)*Inputs!$E$41</f>
        <v/>
      </c>
      <c r="G54" s="24">
        <f>MAX(0,G51-G53)*Inputs!$E$41</f>
        <v/>
      </c>
      <c r="H54" s="24">
        <f>MAX(0,H51-H53)*Inputs!$E$41</f>
        <v/>
      </c>
      <c r="I54" s="24">
        <f>MAX(0,I51-I53)*Inputs!$E$41</f>
        <v/>
      </c>
      <c r="J54" s="24">
        <f>MAX(0,J51-J53)*Inputs!$E$41</f>
        <v/>
      </c>
      <c r="K54" s="24">
        <f>MAX(0,K51-K53)*Inputs!$E$41</f>
        <v/>
      </c>
      <c r="L54" s="24">
        <f>MAX(0,L51-L53)*Inputs!$E$41</f>
        <v/>
      </c>
      <c r="M54" s="24">
        <f>MAX(0,M51-M53)*Inputs!$E$41</f>
        <v/>
      </c>
    </row>
    <row r="55">
      <c r="A55" s="5" t="inlineStr">
        <is>
          <t>Free cash flow (EBITDA - tax)</t>
        </is>
      </c>
      <c r="B55" s="2" t="n"/>
      <c r="C55" s="2" t="n"/>
      <c r="D55" s="24">
        <f>D48-D54</f>
        <v/>
      </c>
      <c r="E55" s="24">
        <f>E48-E54</f>
        <v/>
      </c>
      <c r="F55" s="24">
        <f>F48-F54</f>
        <v/>
      </c>
      <c r="G55" s="24">
        <f>G48-G54</f>
        <v/>
      </c>
      <c r="H55" s="24">
        <f>H48-H54</f>
        <v/>
      </c>
      <c r="I55" s="24">
        <f>I48-I54</f>
        <v/>
      </c>
      <c r="J55" s="24">
        <f>J48-J54</f>
        <v/>
      </c>
      <c r="K55" s="24">
        <f>K48-K54</f>
        <v/>
      </c>
      <c r="L55" s="24">
        <f>L48-L54</f>
        <v/>
      </c>
      <c r="M55" s="24">
        <f>M48-M54</f>
        <v/>
      </c>
    </row>
    <row r="56">
      <c r="A56" s="5" t="inlineStr">
        <is>
          <t>CAPEX + working capital</t>
        </is>
      </c>
      <c r="B56" s="2" t="n"/>
      <c r="C56" s="30">
        <f>-($C$16+(D38+D47)/12)</f>
        <v/>
      </c>
      <c r="D56" s="24">
        <f>0</f>
        <v/>
      </c>
      <c r="E56" s="24">
        <f>0</f>
        <v/>
      </c>
      <c r="F56" s="24">
        <f>0</f>
        <v/>
      </c>
      <c r="G56" s="24">
        <f>0</f>
        <v/>
      </c>
      <c r="H56" s="24">
        <f>0</f>
        <v/>
      </c>
      <c r="I56" s="24">
        <f>0</f>
        <v/>
      </c>
      <c r="J56" s="24">
        <f>0</f>
        <v/>
      </c>
      <c r="K56" s="24">
        <f>0</f>
        <v/>
      </c>
      <c r="L56" s="24">
        <f>0</f>
        <v/>
      </c>
      <c r="M56" s="24">
        <f>-C56-$C$16</f>
        <v/>
      </c>
    </row>
    <row r="57">
      <c r="A57" s="4" t="inlineStr">
        <is>
          <t>Net cash flow</t>
        </is>
      </c>
      <c r="B57" s="2" t="n"/>
      <c r="C57" s="30">
        <f>C56</f>
        <v/>
      </c>
      <c r="D57" s="24">
        <f>D55+D56</f>
        <v/>
      </c>
      <c r="E57" s="24">
        <f>E55+E56</f>
        <v/>
      </c>
      <c r="F57" s="24">
        <f>F55+F56</f>
        <v/>
      </c>
      <c r="G57" s="24">
        <f>G55+G56</f>
        <v/>
      </c>
      <c r="H57" s="24">
        <f>H55+H56</f>
        <v/>
      </c>
      <c r="I57" s="24">
        <f>I55+I56</f>
        <v/>
      </c>
      <c r="J57" s="24">
        <f>J55+J56</f>
        <v/>
      </c>
      <c r="K57" s="24">
        <f>K55+K56</f>
        <v/>
      </c>
      <c r="L57" s="24">
        <f>L55+L56</f>
        <v/>
      </c>
      <c r="M57" s="24">
        <f>M55+M56</f>
        <v/>
      </c>
    </row>
    <row r="58">
      <c r="A58" s="5" t="inlineStr">
        <is>
          <t>Cumulative cash flow</t>
        </is>
      </c>
      <c r="B58" s="2" t="n"/>
      <c r="C58" s="30">
        <f>C57</f>
        <v/>
      </c>
      <c r="D58" s="24">
        <f>C58+D57</f>
        <v/>
      </c>
      <c r="E58" s="24">
        <f>D58+E57</f>
        <v/>
      </c>
      <c r="F58" s="24">
        <f>E58+F57</f>
        <v/>
      </c>
      <c r="G58" s="24">
        <f>F58+G57</f>
        <v/>
      </c>
      <c r="H58" s="24">
        <f>G58+H57</f>
        <v/>
      </c>
      <c r="I58" s="24">
        <f>H58+I57</f>
        <v/>
      </c>
      <c r="J58" s="24">
        <f>I58+J57</f>
        <v/>
      </c>
      <c r="K58" s="24">
        <f>J58+K57</f>
        <v/>
      </c>
      <c r="L58" s="24">
        <f>K58+L57</f>
        <v/>
      </c>
      <c r="M58" s="24">
        <f>L58+M57</f>
        <v/>
      </c>
    </row>
    <row r="59">
      <c r="A59" s="5" t="inlineStr">
        <is>
          <t>Payback helper</t>
        </is>
      </c>
      <c r="B59" s="2" t="n"/>
      <c r="C59" s="2" t="n"/>
      <c r="D59" s="24">
        <f>IF(AND(C58&lt;0,D58&gt;=0),1-1-C58/D57,"")</f>
        <v/>
      </c>
      <c r="E59" s="24">
        <f>IF(AND(D58&lt;0,E58&gt;=0),2-1-D58/E57,"")</f>
        <v/>
      </c>
      <c r="F59" s="24">
        <f>IF(AND(E58&lt;0,F58&gt;=0),3-1-E58/F57,"")</f>
        <v/>
      </c>
      <c r="G59" s="24">
        <f>IF(AND(F58&lt;0,G58&gt;=0),4-1-F58/G57,"")</f>
        <v/>
      </c>
      <c r="H59" s="24">
        <f>IF(AND(G58&lt;0,H58&gt;=0),5-1-G58/H57,"")</f>
        <v/>
      </c>
      <c r="I59" s="24">
        <f>IF(AND(H58&lt;0,I58&gt;=0),6-1-H58/I57,"")</f>
        <v/>
      </c>
      <c r="J59" s="24">
        <f>IF(AND(I58&lt;0,J58&gt;=0),7-1-I58/J57,"")</f>
        <v/>
      </c>
      <c r="K59" s="24">
        <f>IF(AND(J58&lt;0,K58&gt;=0),8-1-J58/K57,"")</f>
        <v/>
      </c>
      <c r="L59" s="24">
        <f>IF(AND(K58&lt;0,L58&gt;=0),9-1-K58/L57,"")</f>
        <v/>
      </c>
      <c r="M59" s="24">
        <f>IF(AND(L58&lt;0,M58&gt;=0),10-1-L58/M57,"")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4" t="inlineStr">
        <is>
          <t>OUTPUTS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4" t="inlineStr">
        <is>
          <t>NPV (Rs)</t>
        </is>
      </c>
      <c r="B62" s="2" t="n"/>
      <c r="C62" s="31">
        <f>NPV($C$26,D57:M57)+C57</f>
        <v/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4" t="inlineStr">
        <is>
          <t>IRR</t>
        </is>
      </c>
      <c r="B63" s="2" t="n"/>
      <c r="C63" s="32">
        <f>IF(SUM(C57:M57)&lt;0,"n/a (never recovers)",IFERROR(IRR(C57:M57,0.1),"n/a"))</f>
        <v/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4" t="inlineStr">
        <is>
          <t>Payback (years)</t>
        </is>
      </c>
      <c r="B64" s="2" t="n"/>
      <c r="C64" s="33">
        <f>IF(COUNT(D59:M59)=0,"Not within 10 years",MIN(D59:M59))</f>
        <v/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5" t="inlineStr">
        <is>
          <t>Year-1 utilisation</t>
        </is>
      </c>
      <c r="B65" s="2" t="n"/>
      <c r="C65" s="28">
        <f>D35</f>
        <v/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5" t="inlineStr">
        <is>
          <t>Year-5 utilisation</t>
        </is>
      </c>
      <c r="B66" s="2" t="n"/>
      <c r="C66" s="28">
        <f>H35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5" t="inlineStr">
        <is>
          <t>Year-1 revenue (Rs)</t>
        </is>
      </c>
      <c r="B67" s="2" t="n"/>
      <c r="C67" s="24">
        <f>D37</f>
        <v/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5" t="inlineStr">
        <is>
          <t>Year-1 EBITDA (Rs)</t>
        </is>
      </c>
      <c r="B68" s="2" t="n"/>
      <c r="C68" s="24">
        <f>D48</f>
        <v/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 t="inlineStr">
        <is>
          <t>Year-5 EBITDA (Rs)</t>
        </is>
      </c>
      <c r="B69" s="2" t="n"/>
      <c r="C69" s="24">
        <f>H48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5" t="inlineStr">
        <is>
          <t>Year-5 EBITDA margin</t>
        </is>
      </c>
      <c r="B70" s="2" t="n"/>
      <c r="C70" s="28">
        <f>H49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5" t="inlineStr">
        <is>
          <t>Contribution per kWh, year 1 (Rs)</t>
        </is>
      </c>
      <c r="B71" s="2" t="n"/>
      <c r="C71" s="27">
        <f>$C$21*(1-$C$24-Inputs!$E$32)-$C$22/(1-Inputs!$E$26)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5" t="inlineStr">
        <is>
          <t>Fixed costs, year 1 (Rs)</t>
        </is>
      </c>
      <c r="B72" s="2" t="n"/>
      <c r="C72" s="24">
        <f>D41+D42+D43+D45+D46+$C$23*12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5" t="inlineStr">
        <is>
          <t>EBITDA break-even, kWh/day</t>
        </is>
      </c>
      <c r="B73" s="2" t="n"/>
      <c r="C73" s="26">
        <f>IF(C71&gt;0,C72/C71/365,"n/a")</f>
        <v/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5" t="inlineStr">
        <is>
          <t>EBITDA break-even, sessions/day</t>
        </is>
      </c>
      <c r="B74" s="2" t="n"/>
      <c r="C74" s="26">
        <f>IFERROR(C73/Inputs!$E$20,"n/a")</f>
        <v/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5" t="inlineStr">
        <is>
          <t>EBITDA break-even, utilisation</t>
        </is>
      </c>
      <c r="B75" s="2" t="n"/>
      <c r="C75" s="28">
        <f>IFERROR(C73/$C$18,"n/a")</f>
        <v/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Hyderabad - conservative scenario - station model (all formulas)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Green = link to Inputs, black = calculation. Change inputs on the Inputs sheet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Configuration</t>
        </is>
      </c>
      <c r="B4" s="2" t="n"/>
      <c r="C4" s="20">
        <f>Inputs!$C$4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60 kW DC chargers</t>
        </is>
      </c>
      <c r="B5" s="2" t="n"/>
      <c r="C5" s="21">
        <f>INDEX(Inputs!$C$63:$C$65,MATCH(C4,Inputs!$A$63:$A$65,0))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120 kW DC chargers</t>
        </is>
      </c>
      <c r="B6" s="2" t="n"/>
      <c r="C6" s="21">
        <f>INDEX(Inputs!$D$63:$D$65,MATCH(C4,Inputs!$A$63:$A$65,0))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7.4 kW AC chargers</t>
        </is>
      </c>
      <c r="B7" s="2" t="n"/>
      <c r="C7" s="21">
        <f>INDEX(Inputs!$E$63:$E$65,MATCH(C4,Inputs!$A$63:$A$65,0))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Total chargers</t>
        </is>
      </c>
      <c r="B8" s="2" t="n"/>
      <c r="C8" s="21">
        <f>C5+C6+C7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5" t="inlineStr">
        <is>
          <t>Total connected kW</t>
        </is>
      </c>
      <c r="B9" s="2" t="n"/>
      <c r="C9" s="22">
        <f>C5*60+C6*120+C7*7.4</f>
        <v/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 t="inlineStr">
        <is>
          <t>CAPEX multiplier (scenario x control)</t>
        </is>
      </c>
      <c r="B10" s="2" t="n"/>
      <c r="C10" s="23">
        <f>Inputs!$F$36*Inputs!$C$8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 t="inlineStr">
        <is>
          <t>Chargers (Rs)</t>
        </is>
      </c>
      <c r="B11" s="2" t="n"/>
      <c r="C11" s="24">
        <f>(C5*Inputs!$C$50+C6*Inputs!$C$51+C7*Inputs!$C$52)*C10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5" t="inlineStr">
        <is>
          <t>Grid connection work (Rs)</t>
        </is>
      </c>
      <c r="B12" s="2" t="n"/>
      <c r="C12" s="24">
        <f>INDEX(Inputs!$G$63:$G$65,MATCH(C4,Inputs!$A$63:$A$65,0))*100000*C10*Inputs!$C$9</f>
        <v/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5" t="inlineStr">
        <is>
          <t>Civil &amp; installation (Rs)</t>
        </is>
      </c>
      <c r="B13" s="2" t="n"/>
      <c r="C13" s="24">
        <f>((C5+C6)*Inputs!$C$53+C7*Inputs!$C$54)*C10</f>
        <v/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5" t="inlineStr">
        <is>
          <t>Signage, software set-up, permits (Rs)</t>
        </is>
      </c>
      <c r="B14" s="2" t="n"/>
      <c r="C14" s="24">
        <f>Inputs!$C$55+Inputs!$C$56+Inputs!$C$57</f>
        <v/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 t="inlineStr">
        <is>
          <t>Contingency (Rs)</t>
        </is>
      </c>
      <c r="B15" s="2" t="n"/>
      <c r="C15" s="24">
        <f>SUM(C11:C14)*Inputs!$F$37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TOTAL CAPEX (Rs)</t>
        </is>
      </c>
      <c r="B16" s="2" t="n"/>
      <c r="C16" s="25">
        <f>SUM(C11:C15)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5" t="inlineStr">
        <is>
          <t>Capacity, kWh/day (at max practical utilisation)</t>
        </is>
      </c>
      <c r="B17" s="2" t="n"/>
      <c r="C17" s="26">
        <f>C9*Inputs!$F$39*24*Inputs!$F$40*Inputs!$F$38</f>
        <v/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5" t="inlineStr">
        <is>
          <t>Energy if in use 24h, kWh/day (for utilisation %)</t>
        </is>
      </c>
      <c r="B18" s="2" t="n"/>
      <c r="C18" s="26">
        <f>C9*Inputs!$F$39*24</f>
        <v/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 t="inlineStr">
        <is>
          <t>Fair share of public demand, kWh/day</t>
        </is>
      </c>
      <c r="B19" s="2" t="n"/>
      <c r="C19" s="26">
        <f>Inputs!$F$15/Inputs!$F$16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 t="inlineStr">
        <is>
          <t>Steady demand year 1, kWh/day</t>
        </is>
      </c>
      <c r="B20" s="2" t="n"/>
      <c r="C20" s="26">
        <f>C19*Inputs!$F$17*Inputs!$C$5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5" t="inlineStr">
        <is>
          <t>Price net of GST year 1 (Rs/kWh)</t>
        </is>
      </c>
      <c r="B21" s="2" t="n"/>
      <c r="C21" s="27">
        <f>Inputs!$F$21*Inputs!$C$6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5" t="inlineStr">
        <is>
          <t>Electricity tariff year 1 (Rs/kWh)</t>
        </is>
      </c>
      <c r="B22" s="2" t="n"/>
      <c r="C22" s="27">
        <f>Inputs!$F$23*Inputs!$C$7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5" t="inlineStr">
        <is>
          <t>Fixed electricity charge (Rs/month)</t>
        </is>
      </c>
      <c r="B23" s="2" t="n"/>
      <c r="C23" s="24">
        <f>IF(AND(TRUE,C9&gt;150),C9/0.95*Inputs!$C$58+Inputs!$C$59,Inputs!$F$24)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5" t="inlineStr">
        <is>
          <t>Host revenue share</t>
        </is>
      </c>
      <c r="B24" s="2" t="n"/>
      <c r="C24" s="28">
        <f>IF(Inputs!$C$11="",Inputs!$F$27,Inputs!$C$11)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5" t="inlineStr">
        <is>
          <t>Staff FTE</t>
        </is>
      </c>
      <c r="B25" s="2" t="n"/>
      <c r="C25" s="22">
        <f>IF(Inputs!$C$10="",Inputs!$F$28,Inputs!$C$10)</f>
        <v/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 t="inlineStr">
        <is>
          <t>Discount rate (CAPM: Rf + beta x ERP)</t>
        </is>
      </c>
      <c r="B26" s="2" t="n"/>
      <c r="C26" s="28">
        <f>IF(Inputs!$C$12="",Inputs!$F$44+Inputs!$F$46*Inputs!$F$45,Inputs!$C$12)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5" t="inlineStr">
        <is>
          <t>Annual depreciation (Rs)</t>
        </is>
      </c>
      <c r="B27" s="2" t="n"/>
      <c r="C27" s="24">
        <f>C16/Inputs!$F$42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4" t="inlineStr">
        <is>
          <t>ANNUAL PROJECTION (Rs unless stated)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Year</t>
        </is>
      </c>
      <c r="B31" s="2" t="n"/>
      <c r="C31" s="29" t="inlineStr">
        <is>
          <t>0</t>
        </is>
      </c>
      <c r="D31" s="29" t="inlineStr">
        <is>
          <t>1</t>
        </is>
      </c>
      <c r="E31" s="29" t="inlineStr">
        <is>
          <t>2</t>
        </is>
      </c>
      <c r="F31" s="29" t="inlineStr">
        <is>
          <t>3</t>
        </is>
      </c>
      <c r="G31" s="29" t="inlineStr">
        <is>
          <t>4</t>
        </is>
      </c>
      <c r="H31" s="29" t="inlineStr">
        <is>
          <t>5</t>
        </is>
      </c>
      <c r="I31" s="29" t="inlineStr">
        <is>
          <t>6</t>
        </is>
      </c>
      <c r="J31" s="29" t="inlineStr">
        <is>
          <t>7</t>
        </is>
      </c>
      <c r="K31" s="29" t="inlineStr">
        <is>
          <t>8</t>
        </is>
      </c>
      <c r="L31" s="29" t="inlineStr">
        <is>
          <t>9</t>
        </is>
      </c>
      <c r="M31" s="29" t="inlineStr">
        <is>
          <t>10</t>
        </is>
      </c>
    </row>
    <row r="32">
      <c r="A32" s="5" t="inlineStr">
        <is>
          <t>Demand kWh/day</t>
        </is>
      </c>
      <c r="B32" s="2" t="n"/>
      <c r="C32" s="2" t="n"/>
      <c r="D32" s="26">
        <f>$C$20*(1+Inputs!$F$19)^(1-1)*Inputs!$F$18</f>
        <v/>
      </c>
      <c r="E32" s="26">
        <f>$C$20*(1+Inputs!$F$19)^(2-1)</f>
        <v/>
      </c>
      <c r="F32" s="26">
        <f>$C$20*(1+Inputs!$F$19)^(3-1)</f>
        <v/>
      </c>
      <c r="G32" s="26">
        <f>$C$20*(1+Inputs!$F$19)^(4-1)</f>
        <v/>
      </c>
      <c r="H32" s="26">
        <f>$C$20*(1+Inputs!$F$19)^(5-1)</f>
        <v/>
      </c>
      <c r="I32" s="26">
        <f>$C$20*(1+Inputs!$F$19)^(6-1)</f>
        <v/>
      </c>
      <c r="J32" s="26">
        <f>$C$20*(1+Inputs!$F$19)^(7-1)</f>
        <v/>
      </c>
      <c r="K32" s="26">
        <f>$C$20*(1+Inputs!$F$19)^(8-1)</f>
        <v/>
      </c>
      <c r="L32" s="26">
        <f>$C$20*(1+Inputs!$F$19)^(9-1)</f>
        <v/>
      </c>
      <c r="M32" s="26">
        <f>$C$20*(1+Inputs!$F$19)^(10-1)</f>
        <v/>
      </c>
    </row>
    <row r="33">
      <c r="A33" s="5" t="inlineStr">
        <is>
          <t>kWh sold per day</t>
        </is>
      </c>
      <c r="B33" s="2" t="n"/>
      <c r="C33" s="2" t="n"/>
      <c r="D33" s="26">
        <f>MIN(D32,$C$17)</f>
        <v/>
      </c>
      <c r="E33" s="26">
        <f>MIN(E32,$C$17)</f>
        <v/>
      </c>
      <c r="F33" s="26">
        <f>MIN(F32,$C$17)</f>
        <v/>
      </c>
      <c r="G33" s="26">
        <f>MIN(G32,$C$17)</f>
        <v/>
      </c>
      <c r="H33" s="26">
        <f>MIN(H32,$C$17)</f>
        <v/>
      </c>
      <c r="I33" s="26">
        <f>MIN(I32,$C$17)</f>
        <v/>
      </c>
      <c r="J33" s="26">
        <f>MIN(J32,$C$17)</f>
        <v/>
      </c>
      <c r="K33" s="26">
        <f>MIN(K32,$C$17)</f>
        <v/>
      </c>
      <c r="L33" s="26">
        <f>MIN(L32,$C$17)</f>
        <v/>
      </c>
      <c r="M33" s="26">
        <f>MIN(M32,$C$17)</f>
        <v/>
      </c>
    </row>
    <row r="34">
      <c r="A34" s="5" t="inlineStr">
        <is>
          <t>Sessions per day</t>
        </is>
      </c>
      <c r="B34" s="2" t="n"/>
      <c r="C34" s="2" t="n"/>
      <c r="D34" s="26">
        <f>D33/Inputs!$F$20</f>
        <v/>
      </c>
      <c r="E34" s="26">
        <f>E33/Inputs!$F$20</f>
        <v/>
      </c>
      <c r="F34" s="26">
        <f>F33/Inputs!$F$20</f>
        <v/>
      </c>
      <c r="G34" s="26">
        <f>G33/Inputs!$F$20</f>
        <v/>
      </c>
      <c r="H34" s="26">
        <f>H33/Inputs!$F$20</f>
        <v/>
      </c>
      <c r="I34" s="26">
        <f>I33/Inputs!$F$20</f>
        <v/>
      </c>
      <c r="J34" s="26">
        <f>J33/Inputs!$F$20</f>
        <v/>
      </c>
      <c r="K34" s="26">
        <f>K33/Inputs!$F$20</f>
        <v/>
      </c>
      <c r="L34" s="26">
        <f>L33/Inputs!$F$20</f>
        <v/>
      </c>
      <c r="M34" s="26">
        <f>M33/Inputs!$F$20</f>
        <v/>
      </c>
    </row>
    <row r="35">
      <c r="A35" s="5" t="inlineStr">
        <is>
          <t>Utilisation (% of hours)</t>
        </is>
      </c>
      <c r="B35" s="2" t="n"/>
      <c r="C35" s="2" t="n"/>
      <c r="D35" s="28">
        <f>D33/$C$18</f>
        <v/>
      </c>
      <c r="E35" s="28">
        <f>E33/$C$18</f>
        <v/>
      </c>
      <c r="F35" s="28">
        <f>F33/$C$18</f>
        <v/>
      </c>
      <c r="G35" s="28">
        <f>G33/$C$18</f>
        <v/>
      </c>
      <c r="H35" s="28">
        <f>H33/$C$18</f>
        <v/>
      </c>
      <c r="I35" s="28">
        <f>I33/$C$18</f>
        <v/>
      </c>
      <c r="J35" s="28">
        <f>J33/$C$18</f>
        <v/>
      </c>
      <c r="K35" s="28">
        <f>K33/$C$18</f>
        <v/>
      </c>
      <c r="L35" s="28">
        <f>L33/$C$18</f>
        <v/>
      </c>
      <c r="M35" s="28">
        <f>M33/$C$18</f>
        <v/>
      </c>
    </row>
    <row r="36">
      <c r="A36" s="5" t="inlineStr">
        <is>
          <t>kWh sold per year</t>
        </is>
      </c>
      <c r="B36" s="2" t="n"/>
      <c r="C36" s="2" t="n"/>
      <c r="D36" s="24">
        <f>D33*365</f>
        <v/>
      </c>
      <c r="E36" s="24">
        <f>E33*365</f>
        <v/>
      </c>
      <c r="F36" s="24">
        <f>F33*365</f>
        <v/>
      </c>
      <c r="G36" s="24">
        <f>G33*365</f>
        <v/>
      </c>
      <c r="H36" s="24">
        <f>H33*365</f>
        <v/>
      </c>
      <c r="I36" s="24">
        <f>I33*365</f>
        <v/>
      </c>
      <c r="J36" s="24">
        <f>J33*365</f>
        <v/>
      </c>
      <c r="K36" s="24">
        <f>K33*365</f>
        <v/>
      </c>
      <c r="L36" s="24">
        <f>L33*365</f>
        <v/>
      </c>
      <c r="M36" s="24">
        <f>M33*365</f>
        <v/>
      </c>
    </row>
    <row r="37">
      <c r="A37" s="4" t="inlineStr">
        <is>
          <t>Revenue</t>
        </is>
      </c>
      <c r="B37" s="2" t="n"/>
      <c r="C37" s="2" t="n"/>
      <c r="D37" s="24">
        <f>D36*$C$21*(1+Inputs!$F$22)^(1-1)</f>
        <v/>
      </c>
      <c r="E37" s="24">
        <f>E36*$C$21*(1+Inputs!$F$22)^(2-1)</f>
        <v/>
      </c>
      <c r="F37" s="24">
        <f>F36*$C$21*(1+Inputs!$F$22)^(3-1)</f>
        <v/>
      </c>
      <c r="G37" s="24">
        <f>G36*$C$21*(1+Inputs!$F$22)^(4-1)</f>
        <v/>
      </c>
      <c r="H37" s="24">
        <f>H36*$C$21*(1+Inputs!$F$22)^(5-1)</f>
        <v/>
      </c>
      <c r="I37" s="24">
        <f>I36*$C$21*(1+Inputs!$F$22)^(6-1)</f>
        <v/>
      </c>
      <c r="J37" s="24">
        <f>J36*$C$21*(1+Inputs!$F$22)^(7-1)</f>
        <v/>
      </c>
      <c r="K37" s="24">
        <f>K36*$C$21*(1+Inputs!$F$22)^(8-1)</f>
        <v/>
      </c>
      <c r="L37" s="24">
        <f>L36*$C$21*(1+Inputs!$F$22)^(9-1)</f>
        <v/>
      </c>
      <c r="M37" s="24">
        <f>M36*$C$21*(1+Inputs!$F$22)^(10-1)</f>
        <v/>
      </c>
    </row>
    <row r="38">
      <c r="A38" s="5" t="inlineStr">
        <is>
          <t>Electricity cost</t>
        </is>
      </c>
      <c r="B38" s="2" t="n"/>
      <c r="C38" s="2" t="n"/>
      <c r="D38" s="24">
        <f>(D36/(1-Inputs!$F$26)*$C$22+$C$23*12)*(1+Inputs!$F$25)^(1-1)</f>
        <v/>
      </c>
      <c r="E38" s="24">
        <f>(E36/(1-Inputs!$F$26)*$C$22+$C$23*12)*(1+Inputs!$F$25)^(2-1)</f>
        <v/>
      </c>
      <c r="F38" s="24">
        <f>(F36/(1-Inputs!$F$26)*$C$22+$C$23*12)*(1+Inputs!$F$25)^(3-1)</f>
        <v/>
      </c>
      <c r="G38" s="24">
        <f>(G36/(1-Inputs!$F$26)*$C$22+$C$23*12)*(1+Inputs!$F$25)^(4-1)</f>
        <v/>
      </c>
      <c r="H38" s="24">
        <f>(H36/(1-Inputs!$F$26)*$C$22+$C$23*12)*(1+Inputs!$F$25)^(5-1)</f>
        <v/>
      </c>
      <c r="I38" s="24">
        <f>(I36/(1-Inputs!$F$26)*$C$22+$C$23*12)*(1+Inputs!$F$25)^(6-1)</f>
        <v/>
      </c>
      <c r="J38" s="24">
        <f>(J36/(1-Inputs!$F$26)*$C$22+$C$23*12)*(1+Inputs!$F$25)^(7-1)</f>
        <v/>
      </c>
      <c r="K38" s="24">
        <f>(K36/(1-Inputs!$F$26)*$C$22+$C$23*12)*(1+Inputs!$F$25)^(8-1)</f>
        <v/>
      </c>
      <c r="L38" s="24">
        <f>(L36/(1-Inputs!$F$26)*$C$22+$C$23*12)*(1+Inputs!$F$25)^(9-1)</f>
        <v/>
      </c>
      <c r="M38" s="24">
        <f>(M36/(1-Inputs!$F$26)*$C$22+$C$23*12)*(1+Inputs!$F$25)^(10-1)</f>
        <v/>
      </c>
    </row>
    <row r="39">
      <c r="A39" s="5" t="inlineStr">
        <is>
          <t>Gross profit</t>
        </is>
      </c>
      <c r="B39" s="2" t="n"/>
      <c r="C39" s="2" t="n"/>
      <c r="D39" s="24">
        <f>D37-D38</f>
        <v/>
      </c>
      <c r="E39" s="24">
        <f>E37-E38</f>
        <v/>
      </c>
      <c r="F39" s="24">
        <f>F37-F38</f>
        <v/>
      </c>
      <c r="G39" s="24">
        <f>G37-G38</f>
        <v/>
      </c>
      <c r="H39" s="24">
        <f>H37-H38</f>
        <v/>
      </c>
      <c r="I39" s="24">
        <f>I37-I38</f>
        <v/>
      </c>
      <c r="J39" s="24">
        <f>J37-J38</f>
        <v/>
      </c>
      <c r="K39" s="24">
        <f>K37-K38</f>
        <v/>
      </c>
      <c r="L39" s="24">
        <f>L37-L38</f>
        <v/>
      </c>
      <c r="M39" s="24">
        <f>M37-M38</f>
        <v/>
      </c>
    </row>
    <row r="40">
      <c r="A40" s="5" t="inlineStr">
        <is>
          <t>Host revenue share</t>
        </is>
      </c>
      <c r="B40" s="2" t="n"/>
      <c r="C40" s="2" t="n"/>
      <c r="D40" s="24">
        <f>D37*$C$24</f>
        <v/>
      </c>
      <c r="E40" s="24">
        <f>E37*$C$24</f>
        <v/>
      </c>
      <c r="F40" s="24">
        <f>F37*$C$24</f>
        <v/>
      </c>
      <c r="G40" s="24">
        <f>G37*$C$24</f>
        <v/>
      </c>
      <c r="H40" s="24">
        <f>H37*$C$24</f>
        <v/>
      </c>
      <c r="I40" s="24">
        <f>I37*$C$24</f>
        <v/>
      </c>
      <c r="J40" s="24">
        <f>J37*$C$24</f>
        <v/>
      </c>
      <c r="K40" s="24">
        <f>K37*$C$24</f>
        <v/>
      </c>
      <c r="L40" s="24">
        <f>L37*$C$24</f>
        <v/>
      </c>
      <c r="M40" s="24">
        <f>M37*$C$24</f>
        <v/>
      </c>
    </row>
    <row r="41">
      <c r="A41" s="5" t="inlineStr">
        <is>
          <t>Staff</t>
        </is>
      </c>
      <c r="B41" s="2" t="n"/>
      <c r="C41" s="2" t="n"/>
      <c r="D41" s="24">
        <f>$C$25*Inputs!$F$29*12*(1+Inputs!$F$35)^(1-1)</f>
        <v/>
      </c>
      <c r="E41" s="24">
        <f>$C$25*Inputs!$F$29*12*(1+Inputs!$F$35)^(2-1)</f>
        <v/>
      </c>
      <c r="F41" s="24">
        <f>$C$25*Inputs!$F$29*12*(1+Inputs!$F$35)^(3-1)</f>
        <v/>
      </c>
      <c r="G41" s="24">
        <f>$C$25*Inputs!$F$29*12*(1+Inputs!$F$35)^(4-1)</f>
        <v/>
      </c>
      <c r="H41" s="24">
        <f>$C$25*Inputs!$F$29*12*(1+Inputs!$F$35)^(5-1)</f>
        <v/>
      </c>
      <c r="I41" s="24">
        <f>$C$25*Inputs!$F$29*12*(1+Inputs!$F$35)^(6-1)</f>
        <v/>
      </c>
      <c r="J41" s="24">
        <f>$C$25*Inputs!$F$29*12*(1+Inputs!$F$35)^(7-1)</f>
        <v/>
      </c>
      <c r="K41" s="24">
        <f>$C$25*Inputs!$F$29*12*(1+Inputs!$F$35)^(8-1)</f>
        <v/>
      </c>
      <c r="L41" s="24">
        <f>$C$25*Inputs!$F$29*12*(1+Inputs!$F$35)^(9-1)</f>
        <v/>
      </c>
      <c r="M41" s="24">
        <f>$C$25*Inputs!$F$29*12*(1+Inputs!$F$35)^(10-1)</f>
        <v/>
      </c>
    </row>
    <row r="42">
      <c r="A42" s="5" t="inlineStr">
        <is>
          <t>Maintenance</t>
        </is>
      </c>
      <c r="B42" s="2" t="n"/>
      <c r="C42" s="2" t="n"/>
      <c r="D42" s="24">
        <f>$C$11*Inputs!$F$30*(1+Inputs!$F$35)^(1-1)</f>
        <v/>
      </c>
      <c r="E42" s="24">
        <f>$C$11*Inputs!$F$30*(1+Inputs!$F$35)^(2-1)</f>
        <v/>
      </c>
      <c r="F42" s="24">
        <f>$C$11*Inputs!$F$30*(1+Inputs!$F$35)^(3-1)</f>
        <v/>
      </c>
      <c r="G42" s="24">
        <f>$C$11*Inputs!$F$30*(1+Inputs!$F$35)^(4-1)</f>
        <v/>
      </c>
      <c r="H42" s="24">
        <f>$C$11*Inputs!$F$30*(1+Inputs!$F$35)^(5-1)</f>
        <v/>
      </c>
      <c r="I42" s="24">
        <f>$C$11*Inputs!$F$30*(1+Inputs!$F$35)^(6-1)</f>
        <v/>
      </c>
      <c r="J42" s="24">
        <f>$C$11*Inputs!$F$30*(1+Inputs!$F$35)^(7-1)</f>
        <v/>
      </c>
      <c r="K42" s="24">
        <f>$C$11*Inputs!$F$30*(1+Inputs!$F$35)^(8-1)</f>
        <v/>
      </c>
      <c r="L42" s="24">
        <f>$C$11*Inputs!$F$30*(1+Inputs!$F$35)^(9-1)</f>
        <v/>
      </c>
      <c r="M42" s="24">
        <f>$C$11*Inputs!$F$30*(1+Inputs!$F$35)^(10-1)</f>
        <v/>
      </c>
    </row>
    <row r="43">
      <c r="A43" s="5" t="inlineStr">
        <is>
          <t>Software / CMS</t>
        </is>
      </c>
      <c r="B43" s="2" t="n"/>
      <c r="C43" s="2" t="n"/>
      <c r="D43" s="24">
        <f>$C$8*Inputs!$F$31*12*(1+Inputs!$F$35)^(1-1)</f>
        <v/>
      </c>
      <c r="E43" s="24">
        <f>$C$8*Inputs!$F$31*12*(1+Inputs!$F$35)^(2-1)</f>
        <v/>
      </c>
      <c r="F43" s="24">
        <f>$C$8*Inputs!$F$31*12*(1+Inputs!$F$35)^(3-1)</f>
        <v/>
      </c>
      <c r="G43" s="24">
        <f>$C$8*Inputs!$F$31*12*(1+Inputs!$F$35)^(4-1)</f>
        <v/>
      </c>
      <c r="H43" s="24">
        <f>$C$8*Inputs!$F$31*12*(1+Inputs!$F$35)^(5-1)</f>
        <v/>
      </c>
      <c r="I43" s="24">
        <f>$C$8*Inputs!$F$31*12*(1+Inputs!$F$35)^(6-1)</f>
        <v/>
      </c>
      <c r="J43" s="24">
        <f>$C$8*Inputs!$F$31*12*(1+Inputs!$F$35)^(7-1)</f>
        <v/>
      </c>
      <c r="K43" s="24">
        <f>$C$8*Inputs!$F$31*12*(1+Inputs!$F$35)^(8-1)</f>
        <v/>
      </c>
      <c r="L43" s="24">
        <f>$C$8*Inputs!$F$31*12*(1+Inputs!$F$35)^(9-1)</f>
        <v/>
      </c>
      <c r="M43" s="24">
        <f>$C$8*Inputs!$F$31*12*(1+Inputs!$F$35)^(10-1)</f>
        <v/>
      </c>
    </row>
    <row r="44">
      <c r="A44" s="5" t="inlineStr">
        <is>
          <t>Payment fees</t>
        </is>
      </c>
      <c r="B44" s="2" t="n"/>
      <c r="C44" s="2" t="n"/>
      <c r="D44" s="24">
        <f>D37*Inputs!$F$32</f>
        <v/>
      </c>
      <c r="E44" s="24">
        <f>E37*Inputs!$F$32</f>
        <v/>
      </c>
      <c r="F44" s="24">
        <f>F37*Inputs!$F$32</f>
        <v/>
      </c>
      <c r="G44" s="24">
        <f>G37*Inputs!$F$32</f>
        <v/>
      </c>
      <c r="H44" s="24">
        <f>H37*Inputs!$F$32</f>
        <v/>
      </c>
      <c r="I44" s="24">
        <f>I37*Inputs!$F$32</f>
        <v/>
      </c>
      <c r="J44" s="24">
        <f>J37*Inputs!$F$32</f>
        <v/>
      </c>
      <c r="K44" s="24">
        <f>K37*Inputs!$F$32</f>
        <v/>
      </c>
      <c r="L44" s="24">
        <f>L37*Inputs!$F$32</f>
        <v/>
      </c>
      <c r="M44" s="24">
        <f>M37*Inputs!$F$32</f>
        <v/>
      </c>
    </row>
    <row r="45">
      <c r="A45" s="5" t="inlineStr">
        <is>
          <t>Insurance</t>
        </is>
      </c>
      <c r="B45" s="2" t="n"/>
      <c r="C45" s="2" t="n"/>
      <c r="D45" s="24">
        <f>$C$16*Inputs!$F$33*(1+Inputs!$F$35)^(1-1)</f>
        <v/>
      </c>
      <c r="E45" s="24">
        <f>$C$16*Inputs!$F$33*(1+Inputs!$F$35)^(2-1)</f>
        <v/>
      </c>
      <c r="F45" s="24">
        <f>$C$16*Inputs!$F$33*(1+Inputs!$F$35)^(3-1)</f>
        <v/>
      </c>
      <c r="G45" s="24">
        <f>$C$16*Inputs!$F$33*(1+Inputs!$F$35)^(4-1)</f>
        <v/>
      </c>
      <c r="H45" s="24">
        <f>$C$16*Inputs!$F$33*(1+Inputs!$F$35)^(5-1)</f>
        <v/>
      </c>
      <c r="I45" s="24">
        <f>$C$16*Inputs!$F$33*(1+Inputs!$F$35)^(6-1)</f>
        <v/>
      </c>
      <c r="J45" s="24">
        <f>$C$16*Inputs!$F$33*(1+Inputs!$F$35)^(7-1)</f>
        <v/>
      </c>
      <c r="K45" s="24">
        <f>$C$16*Inputs!$F$33*(1+Inputs!$F$35)^(8-1)</f>
        <v/>
      </c>
      <c r="L45" s="24">
        <f>$C$16*Inputs!$F$33*(1+Inputs!$F$35)^(9-1)</f>
        <v/>
      </c>
      <c r="M45" s="24">
        <f>$C$16*Inputs!$F$33*(1+Inputs!$F$35)^(10-1)</f>
        <v/>
      </c>
    </row>
    <row r="46">
      <c r="A46" s="5" t="inlineStr">
        <is>
          <t>Misc (internet, cleaning, admin)</t>
        </is>
      </c>
      <c r="B46" s="2" t="n"/>
      <c r="C46" s="2" t="n"/>
      <c r="D46" s="24">
        <f>Inputs!$F$34*12*(1+Inputs!$F$35)^(1-1)</f>
        <v/>
      </c>
      <c r="E46" s="24">
        <f>Inputs!$F$34*12*(1+Inputs!$F$35)^(2-1)</f>
        <v/>
      </c>
      <c r="F46" s="24">
        <f>Inputs!$F$34*12*(1+Inputs!$F$35)^(3-1)</f>
        <v/>
      </c>
      <c r="G46" s="24">
        <f>Inputs!$F$34*12*(1+Inputs!$F$35)^(4-1)</f>
        <v/>
      </c>
      <c r="H46" s="24">
        <f>Inputs!$F$34*12*(1+Inputs!$F$35)^(5-1)</f>
        <v/>
      </c>
      <c r="I46" s="24">
        <f>Inputs!$F$34*12*(1+Inputs!$F$35)^(6-1)</f>
        <v/>
      </c>
      <c r="J46" s="24">
        <f>Inputs!$F$34*12*(1+Inputs!$F$35)^(7-1)</f>
        <v/>
      </c>
      <c r="K46" s="24">
        <f>Inputs!$F$34*12*(1+Inputs!$F$35)^(8-1)</f>
        <v/>
      </c>
      <c r="L46" s="24">
        <f>Inputs!$F$34*12*(1+Inputs!$F$35)^(9-1)</f>
        <v/>
      </c>
      <c r="M46" s="24">
        <f>Inputs!$F$34*12*(1+Inputs!$F$35)^(10-1)</f>
        <v/>
      </c>
    </row>
    <row r="47">
      <c r="A47" s="5" t="inlineStr">
        <is>
          <t>Opex excl. electricity</t>
        </is>
      </c>
      <c r="B47" s="2" t="n"/>
      <c r="C47" s="2" t="n"/>
      <c r="D47" s="24">
        <f>SUM(D40:D46)</f>
        <v/>
      </c>
      <c r="E47" s="24">
        <f>SUM(E40:E46)</f>
        <v/>
      </c>
      <c r="F47" s="24">
        <f>SUM(F40:F46)</f>
        <v/>
      </c>
      <c r="G47" s="24">
        <f>SUM(G40:G46)</f>
        <v/>
      </c>
      <c r="H47" s="24">
        <f>SUM(H40:H46)</f>
        <v/>
      </c>
      <c r="I47" s="24">
        <f>SUM(I40:I46)</f>
        <v/>
      </c>
      <c r="J47" s="24">
        <f>SUM(J40:J46)</f>
        <v/>
      </c>
      <c r="K47" s="24">
        <f>SUM(K40:K46)</f>
        <v/>
      </c>
      <c r="L47" s="24">
        <f>SUM(L40:L46)</f>
        <v/>
      </c>
      <c r="M47" s="24">
        <f>SUM(M40:M46)</f>
        <v/>
      </c>
    </row>
    <row r="48">
      <c r="A48" s="4" t="inlineStr">
        <is>
          <t>EBITDA</t>
        </is>
      </c>
      <c r="B48" s="2" t="n"/>
      <c r="C48" s="2" t="n"/>
      <c r="D48" s="24">
        <f>D39-D47</f>
        <v/>
      </c>
      <c r="E48" s="24">
        <f>E39-E47</f>
        <v/>
      </c>
      <c r="F48" s="24">
        <f>F39-F47</f>
        <v/>
      </c>
      <c r="G48" s="24">
        <f>G39-G47</f>
        <v/>
      </c>
      <c r="H48" s="24">
        <f>H39-H47</f>
        <v/>
      </c>
      <c r="I48" s="24">
        <f>I39-I47</f>
        <v/>
      </c>
      <c r="J48" s="24">
        <f>J39-J47</f>
        <v/>
      </c>
      <c r="K48" s="24">
        <f>K39-K47</f>
        <v/>
      </c>
      <c r="L48" s="24">
        <f>L39-L47</f>
        <v/>
      </c>
      <c r="M48" s="24">
        <f>M39-M47</f>
        <v/>
      </c>
    </row>
    <row r="49">
      <c r="A49" s="5" t="inlineStr">
        <is>
          <t>EBITDA margin</t>
        </is>
      </c>
      <c r="B49" s="2" t="n"/>
      <c r="C49" s="2" t="n"/>
      <c r="D49" s="28">
        <f>IFERROR(D48/D37,0)</f>
        <v/>
      </c>
      <c r="E49" s="28">
        <f>IFERROR(E48/E37,0)</f>
        <v/>
      </c>
      <c r="F49" s="28">
        <f>IFERROR(F48/F37,0)</f>
        <v/>
      </c>
      <c r="G49" s="28">
        <f>IFERROR(G48/G37,0)</f>
        <v/>
      </c>
      <c r="H49" s="28">
        <f>IFERROR(H48/H37,0)</f>
        <v/>
      </c>
      <c r="I49" s="28">
        <f>IFERROR(I48/I37,0)</f>
        <v/>
      </c>
      <c r="J49" s="28">
        <f>IFERROR(J48/J37,0)</f>
        <v/>
      </c>
      <c r="K49" s="28">
        <f>IFERROR(K48/K37,0)</f>
        <v/>
      </c>
      <c r="L49" s="28">
        <f>IFERROR(L48/L37,0)</f>
        <v/>
      </c>
      <c r="M49" s="28">
        <f>IFERROR(M48/M37,0)</f>
        <v/>
      </c>
    </row>
    <row r="50">
      <c r="A50" s="5" t="inlineStr">
        <is>
          <t>Depreciation</t>
        </is>
      </c>
      <c r="B50" s="2" t="n"/>
      <c r="C50" s="2" t="n"/>
      <c r="D50" s="24">
        <f>$C$27</f>
        <v/>
      </c>
      <c r="E50" s="24">
        <f>$C$27</f>
        <v/>
      </c>
      <c r="F50" s="24">
        <f>$C$27</f>
        <v/>
      </c>
      <c r="G50" s="24">
        <f>$C$27</f>
        <v/>
      </c>
      <c r="H50" s="24">
        <f>$C$27</f>
        <v/>
      </c>
      <c r="I50" s="24">
        <f>$C$27</f>
        <v/>
      </c>
      <c r="J50" s="24">
        <f>$C$27</f>
        <v/>
      </c>
      <c r="K50" s="24">
        <f>$C$27</f>
        <v/>
      </c>
      <c r="L50" s="24">
        <f>$C$27</f>
        <v/>
      </c>
      <c r="M50" s="24">
        <f>$C$27</f>
        <v/>
      </c>
    </row>
    <row r="51">
      <c r="A51" s="5" t="inlineStr">
        <is>
          <t>EBIT</t>
        </is>
      </c>
      <c r="B51" s="2" t="n"/>
      <c r="C51" s="2" t="n"/>
      <c r="D51" s="24">
        <f>D48-D50</f>
        <v/>
      </c>
      <c r="E51" s="24">
        <f>E48-E50</f>
        <v/>
      </c>
      <c r="F51" s="24">
        <f>F48-F50</f>
        <v/>
      </c>
      <c r="G51" s="24">
        <f>G48-G50</f>
        <v/>
      </c>
      <c r="H51" s="24">
        <f>H48-H50</f>
        <v/>
      </c>
      <c r="I51" s="24">
        <f>I48-I50</f>
        <v/>
      </c>
      <c r="J51" s="24">
        <f>J48-J50</f>
        <v/>
      </c>
      <c r="K51" s="24">
        <f>K48-K50</f>
        <v/>
      </c>
      <c r="L51" s="24">
        <f>L48-L50</f>
        <v/>
      </c>
      <c r="M51" s="24">
        <f>M48-M50</f>
        <v/>
      </c>
    </row>
    <row r="52">
      <c r="A52" s="5" t="inlineStr">
        <is>
          <t>Tax losses brought forward</t>
        </is>
      </c>
      <c r="B52" s="2" t="n"/>
      <c r="C52" s="2" t="n"/>
      <c r="D52" s="24">
        <f>0</f>
        <v/>
      </c>
      <c r="E52" s="24">
        <f>D52+MAX(0,-D51)-D53</f>
        <v/>
      </c>
      <c r="F52" s="24">
        <f>E52+MAX(0,-E51)-E53</f>
        <v/>
      </c>
      <c r="G52" s="24">
        <f>F52+MAX(0,-F51)-F53</f>
        <v/>
      </c>
      <c r="H52" s="24">
        <f>G52+MAX(0,-G51)-G53</f>
        <v/>
      </c>
      <c r="I52" s="24">
        <f>H52+MAX(0,-H51)-H53</f>
        <v/>
      </c>
      <c r="J52" s="24">
        <f>I52+MAX(0,-I51)-I53</f>
        <v/>
      </c>
      <c r="K52" s="24">
        <f>J52+MAX(0,-J51)-J53</f>
        <v/>
      </c>
      <c r="L52" s="24">
        <f>K52+MAX(0,-K51)-K53</f>
        <v/>
      </c>
      <c r="M52" s="24">
        <f>L52+MAX(0,-L51)-L53</f>
        <v/>
      </c>
    </row>
    <row r="53">
      <c r="A53" s="5" t="inlineStr">
        <is>
          <t>Tax losses used</t>
        </is>
      </c>
      <c r="B53" s="2" t="n"/>
      <c r="C53" s="2" t="n"/>
      <c r="D53" s="24">
        <f>MIN(D52,MAX(0,D51))</f>
        <v/>
      </c>
      <c r="E53" s="24">
        <f>MIN(E52,MAX(0,E51))</f>
        <v/>
      </c>
      <c r="F53" s="24">
        <f>MIN(F52,MAX(0,F51))</f>
        <v/>
      </c>
      <c r="G53" s="24">
        <f>MIN(G52,MAX(0,G51))</f>
        <v/>
      </c>
      <c r="H53" s="24">
        <f>MIN(H52,MAX(0,H51))</f>
        <v/>
      </c>
      <c r="I53" s="24">
        <f>MIN(I52,MAX(0,I51))</f>
        <v/>
      </c>
      <c r="J53" s="24">
        <f>MIN(J52,MAX(0,J51))</f>
        <v/>
      </c>
      <c r="K53" s="24">
        <f>MIN(K52,MAX(0,K51))</f>
        <v/>
      </c>
      <c r="L53" s="24">
        <f>MIN(L52,MAX(0,L51))</f>
        <v/>
      </c>
      <c r="M53" s="24">
        <f>MIN(M52,MAX(0,M51))</f>
        <v/>
      </c>
    </row>
    <row r="54">
      <c r="A54" s="5" t="inlineStr">
        <is>
          <t>Tax</t>
        </is>
      </c>
      <c r="B54" s="2" t="n"/>
      <c r="C54" s="2" t="n"/>
      <c r="D54" s="24">
        <f>MAX(0,D51-D53)*Inputs!$F$41</f>
        <v/>
      </c>
      <c r="E54" s="24">
        <f>MAX(0,E51-E53)*Inputs!$F$41</f>
        <v/>
      </c>
      <c r="F54" s="24">
        <f>MAX(0,F51-F53)*Inputs!$F$41</f>
        <v/>
      </c>
      <c r="G54" s="24">
        <f>MAX(0,G51-G53)*Inputs!$F$41</f>
        <v/>
      </c>
      <c r="H54" s="24">
        <f>MAX(0,H51-H53)*Inputs!$F$41</f>
        <v/>
      </c>
      <c r="I54" s="24">
        <f>MAX(0,I51-I53)*Inputs!$F$41</f>
        <v/>
      </c>
      <c r="J54" s="24">
        <f>MAX(0,J51-J53)*Inputs!$F$41</f>
        <v/>
      </c>
      <c r="K54" s="24">
        <f>MAX(0,K51-K53)*Inputs!$F$41</f>
        <v/>
      </c>
      <c r="L54" s="24">
        <f>MAX(0,L51-L53)*Inputs!$F$41</f>
        <v/>
      </c>
      <c r="M54" s="24">
        <f>MAX(0,M51-M53)*Inputs!$F$41</f>
        <v/>
      </c>
    </row>
    <row r="55">
      <c r="A55" s="5" t="inlineStr">
        <is>
          <t>Free cash flow (EBITDA - tax)</t>
        </is>
      </c>
      <c r="B55" s="2" t="n"/>
      <c r="C55" s="2" t="n"/>
      <c r="D55" s="24">
        <f>D48-D54</f>
        <v/>
      </c>
      <c r="E55" s="24">
        <f>E48-E54</f>
        <v/>
      </c>
      <c r="F55" s="24">
        <f>F48-F54</f>
        <v/>
      </c>
      <c r="G55" s="24">
        <f>G48-G54</f>
        <v/>
      </c>
      <c r="H55" s="24">
        <f>H48-H54</f>
        <v/>
      </c>
      <c r="I55" s="24">
        <f>I48-I54</f>
        <v/>
      </c>
      <c r="J55" s="24">
        <f>J48-J54</f>
        <v/>
      </c>
      <c r="K55" s="24">
        <f>K48-K54</f>
        <v/>
      </c>
      <c r="L55" s="24">
        <f>L48-L54</f>
        <v/>
      </c>
      <c r="M55" s="24">
        <f>M48-M54</f>
        <v/>
      </c>
    </row>
    <row r="56">
      <c r="A56" s="5" t="inlineStr">
        <is>
          <t>CAPEX + working capital</t>
        </is>
      </c>
      <c r="B56" s="2" t="n"/>
      <c r="C56" s="30">
        <f>-($C$16+(D38+D47)/12)</f>
        <v/>
      </c>
      <c r="D56" s="24">
        <f>0</f>
        <v/>
      </c>
      <c r="E56" s="24">
        <f>0</f>
        <v/>
      </c>
      <c r="F56" s="24">
        <f>0</f>
        <v/>
      </c>
      <c r="G56" s="24">
        <f>0</f>
        <v/>
      </c>
      <c r="H56" s="24">
        <f>0</f>
        <v/>
      </c>
      <c r="I56" s="24">
        <f>0</f>
        <v/>
      </c>
      <c r="J56" s="24">
        <f>0</f>
        <v/>
      </c>
      <c r="K56" s="24">
        <f>0</f>
        <v/>
      </c>
      <c r="L56" s="24">
        <f>0</f>
        <v/>
      </c>
      <c r="M56" s="24">
        <f>-C56-$C$16</f>
        <v/>
      </c>
    </row>
    <row r="57">
      <c r="A57" s="4" t="inlineStr">
        <is>
          <t>Net cash flow</t>
        </is>
      </c>
      <c r="B57" s="2" t="n"/>
      <c r="C57" s="30">
        <f>C56</f>
        <v/>
      </c>
      <c r="D57" s="24">
        <f>D55+D56</f>
        <v/>
      </c>
      <c r="E57" s="24">
        <f>E55+E56</f>
        <v/>
      </c>
      <c r="F57" s="24">
        <f>F55+F56</f>
        <v/>
      </c>
      <c r="G57" s="24">
        <f>G55+G56</f>
        <v/>
      </c>
      <c r="H57" s="24">
        <f>H55+H56</f>
        <v/>
      </c>
      <c r="I57" s="24">
        <f>I55+I56</f>
        <v/>
      </c>
      <c r="J57" s="24">
        <f>J55+J56</f>
        <v/>
      </c>
      <c r="K57" s="24">
        <f>K55+K56</f>
        <v/>
      </c>
      <c r="L57" s="24">
        <f>L55+L56</f>
        <v/>
      </c>
      <c r="M57" s="24">
        <f>M55+M56</f>
        <v/>
      </c>
    </row>
    <row r="58">
      <c r="A58" s="5" t="inlineStr">
        <is>
          <t>Cumulative cash flow</t>
        </is>
      </c>
      <c r="B58" s="2" t="n"/>
      <c r="C58" s="30">
        <f>C57</f>
        <v/>
      </c>
      <c r="D58" s="24">
        <f>C58+D57</f>
        <v/>
      </c>
      <c r="E58" s="24">
        <f>D58+E57</f>
        <v/>
      </c>
      <c r="F58" s="24">
        <f>E58+F57</f>
        <v/>
      </c>
      <c r="G58" s="24">
        <f>F58+G57</f>
        <v/>
      </c>
      <c r="H58" s="24">
        <f>G58+H57</f>
        <v/>
      </c>
      <c r="I58" s="24">
        <f>H58+I57</f>
        <v/>
      </c>
      <c r="J58" s="24">
        <f>I58+J57</f>
        <v/>
      </c>
      <c r="K58" s="24">
        <f>J58+K57</f>
        <v/>
      </c>
      <c r="L58" s="24">
        <f>K58+L57</f>
        <v/>
      </c>
      <c r="M58" s="24">
        <f>L58+M57</f>
        <v/>
      </c>
    </row>
    <row r="59">
      <c r="A59" s="5" t="inlineStr">
        <is>
          <t>Payback helper</t>
        </is>
      </c>
      <c r="B59" s="2" t="n"/>
      <c r="C59" s="2" t="n"/>
      <c r="D59" s="24">
        <f>IF(AND(C58&lt;0,D58&gt;=0),1-1-C58/D57,"")</f>
        <v/>
      </c>
      <c r="E59" s="24">
        <f>IF(AND(D58&lt;0,E58&gt;=0),2-1-D58/E57,"")</f>
        <v/>
      </c>
      <c r="F59" s="24">
        <f>IF(AND(E58&lt;0,F58&gt;=0),3-1-E58/F57,"")</f>
        <v/>
      </c>
      <c r="G59" s="24">
        <f>IF(AND(F58&lt;0,G58&gt;=0),4-1-F58/G57,"")</f>
        <v/>
      </c>
      <c r="H59" s="24">
        <f>IF(AND(G58&lt;0,H58&gt;=0),5-1-G58/H57,"")</f>
        <v/>
      </c>
      <c r="I59" s="24">
        <f>IF(AND(H58&lt;0,I58&gt;=0),6-1-H58/I57,"")</f>
        <v/>
      </c>
      <c r="J59" s="24">
        <f>IF(AND(I58&lt;0,J58&gt;=0),7-1-I58/J57,"")</f>
        <v/>
      </c>
      <c r="K59" s="24">
        <f>IF(AND(J58&lt;0,K58&gt;=0),8-1-J58/K57,"")</f>
        <v/>
      </c>
      <c r="L59" s="24">
        <f>IF(AND(K58&lt;0,L58&gt;=0),9-1-K58/L57,"")</f>
        <v/>
      </c>
      <c r="M59" s="24">
        <f>IF(AND(L58&lt;0,M58&gt;=0),10-1-L58/M57,"")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4" t="inlineStr">
        <is>
          <t>OUTPUTS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4" t="inlineStr">
        <is>
          <t>NPV (Rs)</t>
        </is>
      </c>
      <c r="B62" s="2" t="n"/>
      <c r="C62" s="31">
        <f>NPV($C$26,D57:M57)+C57</f>
        <v/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4" t="inlineStr">
        <is>
          <t>IRR</t>
        </is>
      </c>
      <c r="B63" s="2" t="n"/>
      <c r="C63" s="32">
        <f>IF(SUM(C57:M57)&lt;0,"n/a (never recovers)",IFERROR(IRR(C57:M57,0.1),"n/a"))</f>
        <v/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4" t="inlineStr">
        <is>
          <t>Payback (years)</t>
        </is>
      </c>
      <c r="B64" s="2" t="n"/>
      <c r="C64" s="33">
        <f>IF(COUNT(D59:M59)=0,"Not within 10 years",MIN(D59:M59))</f>
        <v/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5" t="inlineStr">
        <is>
          <t>Year-1 utilisation</t>
        </is>
      </c>
      <c r="B65" s="2" t="n"/>
      <c r="C65" s="28">
        <f>D35</f>
        <v/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5" t="inlineStr">
        <is>
          <t>Year-5 utilisation</t>
        </is>
      </c>
      <c r="B66" s="2" t="n"/>
      <c r="C66" s="28">
        <f>H35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5" t="inlineStr">
        <is>
          <t>Year-1 revenue (Rs)</t>
        </is>
      </c>
      <c r="B67" s="2" t="n"/>
      <c r="C67" s="24">
        <f>D37</f>
        <v/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5" t="inlineStr">
        <is>
          <t>Year-1 EBITDA (Rs)</t>
        </is>
      </c>
      <c r="B68" s="2" t="n"/>
      <c r="C68" s="24">
        <f>D48</f>
        <v/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 t="inlineStr">
        <is>
          <t>Year-5 EBITDA (Rs)</t>
        </is>
      </c>
      <c r="B69" s="2" t="n"/>
      <c r="C69" s="24">
        <f>H48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5" t="inlineStr">
        <is>
          <t>Year-5 EBITDA margin</t>
        </is>
      </c>
      <c r="B70" s="2" t="n"/>
      <c r="C70" s="28">
        <f>H49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5" t="inlineStr">
        <is>
          <t>Contribution per kWh, year 1 (Rs)</t>
        </is>
      </c>
      <c r="B71" s="2" t="n"/>
      <c r="C71" s="27">
        <f>$C$21*(1-$C$24-Inputs!$F$32)-$C$22/(1-Inputs!$F$26)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5" t="inlineStr">
        <is>
          <t>Fixed costs, year 1 (Rs)</t>
        </is>
      </c>
      <c r="B72" s="2" t="n"/>
      <c r="C72" s="24">
        <f>D41+D42+D43+D45+D46+$C$23*12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5" t="inlineStr">
        <is>
          <t>EBITDA break-even, kWh/day</t>
        </is>
      </c>
      <c r="B73" s="2" t="n"/>
      <c r="C73" s="26">
        <f>IF(C71&gt;0,C72/C71/365,"n/a")</f>
        <v/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5" t="inlineStr">
        <is>
          <t>EBITDA break-even, sessions/day</t>
        </is>
      </c>
      <c r="B74" s="2" t="n"/>
      <c r="C74" s="26">
        <f>IFERROR(C73/Inputs!$F$20,"n/a")</f>
        <v/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5" t="inlineStr">
        <is>
          <t>EBITDA break-even, utilisation</t>
        </is>
      </c>
      <c r="B75" s="2" t="n"/>
      <c r="C75" s="28">
        <f>IFERROR(C73/$C$18,"n/a")</f>
        <v/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Hyderabad - base scenario - station model (all formulas)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Green = link to Inputs, black = calculation. Change inputs on the Inputs sheet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Configuration</t>
        </is>
      </c>
      <c r="B4" s="2" t="n"/>
      <c r="C4" s="20">
        <f>Inputs!$C$4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60 kW DC chargers</t>
        </is>
      </c>
      <c r="B5" s="2" t="n"/>
      <c r="C5" s="21">
        <f>INDEX(Inputs!$C$63:$C$65,MATCH(C4,Inputs!$A$63:$A$65,0))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120 kW DC chargers</t>
        </is>
      </c>
      <c r="B6" s="2" t="n"/>
      <c r="C6" s="21">
        <f>INDEX(Inputs!$D$63:$D$65,MATCH(C4,Inputs!$A$63:$A$65,0))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7.4 kW AC chargers</t>
        </is>
      </c>
      <c r="B7" s="2" t="n"/>
      <c r="C7" s="21">
        <f>INDEX(Inputs!$E$63:$E$65,MATCH(C4,Inputs!$A$63:$A$65,0))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Total chargers</t>
        </is>
      </c>
      <c r="B8" s="2" t="n"/>
      <c r="C8" s="21">
        <f>C5+C6+C7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5" t="inlineStr">
        <is>
          <t>Total connected kW</t>
        </is>
      </c>
      <c r="B9" s="2" t="n"/>
      <c r="C9" s="22">
        <f>C5*60+C6*120+C7*7.4</f>
        <v/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 t="inlineStr">
        <is>
          <t>CAPEX multiplier (scenario x control)</t>
        </is>
      </c>
      <c r="B10" s="2" t="n"/>
      <c r="C10" s="23">
        <f>Inputs!$G$36*Inputs!$C$8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 t="inlineStr">
        <is>
          <t>Chargers (Rs)</t>
        </is>
      </c>
      <c r="B11" s="2" t="n"/>
      <c r="C11" s="24">
        <f>(C5*Inputs!$C$50+C6*Inputs!$C$51+C7*Inputs!$C$52)*C10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5" t="inlineStr">
        <is>
          <t>Grid connection work (Rs)</t>
        </is>
      </c>
      <c r="B12" s="2" t="n"/>
      <c r="C12" s="24">
        <f>INDEX(Inputs!$G$63:$G$65,MATCH(C4,Inputs!$A$63:$A$65,0))*100000*C10*Inputs!$C$9</f>
        <v/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5" t="inlineStr">
        <is>
          <t>Civil &amp; installation (Rs)</t>
        </is>
      </c>
      <c r="B13" s="2" t="n"/>
      <c r="C13" s="24">
        <f>((C5+C6)*Inputs!$C$53+C7*Inputs!$C$54)*C10</f>
        <v/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5" t="inlineStr">
        <is>
          <t>Signage, software set-up, permits (Rs)</t>
        </is>
      </c>
      <c r="B14" s="2" t="n"/>
      <c r="C14" s="24">
        <f>Inputs!$C$55+Inputs!$C$56+Inputs!$C$57</f>
        <v/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 t="inlineStr">
        <is>
          <t>Contingency (Rs)</t>
        </is>
      </c>
      <c r="B15" s="2" t="n"/>
      <c r="C15" s="24">
        <f>SUM(C11:C14)*Inputs!$G$37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TOTAL CAPEX (Rs)</t>
        </is>
      </c>
      <c r="B16" s="2" t="n"/>
      <c r="C16" s="25">
        <f>SUM(C11:C15)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5" t="inlineStr">
        <is>
          <t>Capacity, kWh/day (at max practical utilisation)</t>
        </is>
      </c>
      <c r="B17" s="2" t="n"/>
      <c r="C17" s="26">
        <f>C9*Inputs!$G$39*24*Inputs!$G$40*Inputs!$G$38</f>
        <v/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5" t="inlineStr">
        <is>
          <t>Energy if in use 24h, kWh/day (for utilisation %)</t>
        </is>
      </c>
      <c r="B18" s="2" t="n"/>
      <c r="C18" s="26">
        <f>C9*Inputs!$G$39*24</f>
        <v/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 t="inlineStr">
        <is>
          <t>Fair share of public demand, kWh/day</t>
        </is>
      </c>
      <c r="B19" s="2" t="n"/>
      <c r="C19" s="26">
        <f>Inputs!$G$15/Inputs!$G$16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 t="inlineStr">
        <is>
          <t>Steady demand year 1, kWh/day</t>
        </is>
      </c>
      <c r="B20" s="2" t="n"/>
      <c r="C20" s="26">
        <f>C19*Inputs!$G$17*Inputs!$C$5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5" t="inlineStr">
        <is>
          <t>Price net of GST year 1 (Rs/kWh)</t>
        </is>
      </c>
      <c r="B21" s="2" t="n"/>
      <c r="C21" s="27">
        <f>Inputs!$G$21*Inputs!$C$6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5" t="inlineStr">
        <is>
          <t>Electricity tariff year 1 (Rs/kWh)</t>
        </is>
      </c>
      <c r="B22" s="2" t="n"/>
      <c r="C22" s="27">
        <f>Inputs!$G$23*Inputs!$C$7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5" t="inlineStr">
        <is>
          <t>Fixed electricity charge (Rs/month)</t>
        </is>
      </c>
      <c r="B23" s="2" t="n"/>
      <c r="C23" s="24">
        <f>IF(AND(TRUE,C9&gt;150),C9/0.95*Inputs!$C$58+Inputs!$C$59,Inputs!$G$24)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5" t="inlineStr">
        <is>
          <t>Host revenue share</t>
        </is>
      </c>
      <c r="B24" s="2" t="n"/>
      <c r="C24" s="28">
        <f>IF(Inputs!$C$11="",Inputs!$G$27,Inputs!$C$11)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5" t="inlineStr">
        <is>
          <t>Staff FTE</t>
        </is>
      </c>
      <c r="B25" s="2" t="n"/>
      <c r="C25" s="22">
        <f>IF(Inputs!$C$10="",Inputs!$G$28,Inputs!$C$10)</f>
        <v/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 t="inlineStr">
        <is>
          <t>Discount rate (CAPM: Rf + beta x ERP)</t>
        </is>
      </c>
      <c r="B26" s="2" t="n"/>
      <c r="C26" s="28">
        <f>IF(Inputs!$C$12="",Inputs!$G$44+Inputs!$G$46*Inputs!$G$45,Inputs!$C$12)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5" t="inlineStr">
        <is>
          <t>Annual depreciation (Rs)</t>
        </is>
      </c>
      <c r="B27" s="2" t="n"/>
      <c r="C27" s="24">
        <f>C16/Inputs!$G$42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4" t="inlineStr">
        <is>
          <t>ANNUAL PROJECTION (Rs unless stated)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Year</t>
        </is>
      </c>
      <c r="B31" s="2" t="n"/>
      <c r="C31" s="29" t="inlineStr">
        <is>
          <t>0</t>
        </is>
      </c>
      <c r="D31" s="29" t="inlineStr">
        <is>
          <t>1</t>
        </is>
      </c>
      <c r="E31" s="29" t="inlineStr">
        <is>
          <t>2</t>
        </is>
      </c>
      <c r="F31" s="29" t="inlineStr">
        <is>
          <t>3</t>
        </is>
      </c>
      <c r="G31" s="29" t="inlineStr">
        <is>
          <t>4</t>
        </is>
      </c>
      <c r="H31" s="29" t="inlineStr">
        <is>
          <t>5</t>
        </is>
      </c>
      <c r="I31" s="29" t="inlineStr">
        <is>
          <t>6</t>
        </is>
      </c>
      <c r="J31" s="29" t="inlineStr">
        <is>
          <t>7</t>
        </is>
      </c>
      <c r="K31" s="29" t="inlineStr">
        <is>
          <t>8</t>
        </is>
      </c>
      <c r="L31" s="29" t="inlineStr">
        <is>
          <t>9</t>
        </is>
      </c>
      <c r="M31" s="29" t="inlineStr">
        <is>
          <t>10</t>
        </is>
      </c>
    </row>
    <row r="32">
      <c r="A32" s="5" t="inlineStr">
        <is>
          <t>Demand kWh/day</t>
        </is>
      </c>
      <c r="B32" s="2" t="n"/>
      <c r="C32" s="2" t="n"/>
      <c r="D32" s="26">
        <f>$C$20*(1+Inputs!$G$19)^(1-1)*Inputs!$G$18</f>
        <v/>
      </c>
      <c r="E32" s="26">
        <f>$C$20*(1+Inputs!$G$19)^(2-1)</f>
        <v/>
      </c>
      <c r="F32" s="26">
        <f>$C$20*(1+Inputs!$G$19)^(3-1)</f>
        <v/>
      </c>
      <c r="G32" s="26">
        <f>$C$20*(1+Inputs!$G$19)^(4-1)</f>
        <v/>
      </c>
      <c r="H32" s="26">
        <f>$C$20*(1+Inputs!$G$19)^(5-1)</f>
        <v/>
      </c>
      <c r="I32" s="26">
        <f>$C$20*(1+Inputs!$G$19)^(6-1)</f>
        <v/>
      </c>
      <c r="J32" s="26">
        <f>$C$20*(1+Inputs!$G$19)^(7-1)</f>
        <v/>
      </c>
      <c r="K32" s="26">
        <f>$C$20*(1+Inputs!$G$19)^(8-1)</f>
        <v/>
      </c>
      <c r="L32" s="26">
        <f>$C$20*(1+Inputs!$G$19)^(9-1)</f>
        <v/>
      </c>
      <c r="M32" s="26">
        <f>$C$20*(1+Inputs!$G$19)^(10-1)</f>
        <v/>
      </c>
    </row>
    <row r="33">
      <c r="A33" s="5" t="inlineStr">
        <is>
          <t>kWh sold per day</t>
        </is>
      </c>
      <c r="B33" s="2" t="n"/>
      <c r="C33" s="2" t="n"/>
      <c r="D33" s="26">
        <f>MIN(D32,$C$17)</f>
        <v/>
      </c>
      <c r="E33" s="26">
        <f>MIN(E32,$C$17)</f>
        <v/>
      </c>
      <c r="F33" s="26">
        <f>MIN(F32,$C$17)</f>
        <v/>
      </c>
      <c r="G33" s="26">
        <f>MIN(G32,$C$17)</f>
        <v/>
      </c>
      <c r="H33" s="26">
        <f>MIN(H32,$C$17)</f>
        <v/>
      </c>
      <c r="I33" s="26">
        <f>MIN(I32,$C$17)</f>
        <v/>
      </c>
      <c r="J33" s="26">
        <f>MIN(J32,$C$17)</f>
        <v/>
      </c>
      <c r="K33" s="26">
        <f>MIN(K32,$C$17)</f>
        <v/>
      </c>
      <c r="L33" s="26">
        <f>MIN(L32,$C$17)</f>
        <v/>
      </c>
      <c r="M33" s="26">
        <f>MIN(M32,$C$17)</f>
        <v/>
      </c>
    </row>
    <row r="34">
      <c r="A34" s="5" t="inlineStr">
        <is>
          <t>Sessions per day</t>
        </is>
      </c>
      <c r="B34" s="2" t="n"/>
      <c r="C34" s="2" t="n"/>
      <c r="D34" s="26">
        <f>D33/Inputs!$G$20</f>
        <v/>
      </c>
      <c r="E34" s="26">
        <f>E33/Inputs!$G$20</f>
        <v/>
      </c>
      <c r="F34" s="26">
        <f>F33/Inputs!$G$20</f>
        <v/>
      </c>
      <c r="G34" s="26">
        <f>G33/Inputs!$G$20</f>
        <v/>
      </c>
      <c r="H34" s="26">
        <f>H33/Inputs!$G$20</f>
        <v/>
      </c>
      <c r="I34" s="26">
        <f>I33/Inputs!$G$20</f>
        <v/>
      </c>
      <c r="J34" s="26">
        <f>J33/Inputs!$G$20</f>
        <v/>
      </c>
      <c r="K34" s="26">
        <f>K33/Inputs!$G$20</f>
        <v/>
      </c>
      <c r="L34" s="26">
        <f>L33/Inputs!$G$20</f>
        <v/>
      </c>
      <c r="M34" s="26">
        <f>M33/Inputs!$G$20</f>
        <v/>
      </c>
    </row>
    <row r="35">
      <c r="A35" s="5" t="inlineStr">
        <is>
          <t>Utilisation (% of hours)</t>
        </is>
      </c>
      <c r="B35" s="2" t="n"/>
      <c r="C35" s="2" t="n"/>
      <c r="D35" s="28">
        <f>D33/$C$18</f>
        <v/>
      </c>
      <c r="E35" s="28">
        <f>E33/$C$18</f>
        <v/>
      </c>
      <c r="F35" s="28">
        <f>F33/$C$18</f>
        <v/>
      </c>
      <c r="G35" s="28">
        <f>G33/$C$18</f>
        <v/>
      </c>
      <c r="H35" s="28">
        <f>H33/$C$18</f>
        <v/>
      </c>
      <c r="I35" s="28">
        <f>I33/$C$18</f>
        <v/>
      </c>
      <c r="J35" s="28">
        <f>J33/$C$18</f>
        <v/>
      </c>
      <c r="K35" s="28">
        <f>K33/$C$18</f>
        <v/>
      </c>
      <c r="L35" s="28">
        <f>L33/$C$18</f>
        <v/>
      </c>
      <c r="M35" s="28">
        <f>M33/$C$18</f>
        <v/>
      </c>
    </row>
    <row r="36">
      <c r="A36" s="5" t="inlineStr">
        <is>
          <t>kWh sold per year</t>
        </is>
      </c>
      <c r="B36" s="2" t="n"/>
      <c r="C36" s="2" t="n"/>
      <c r="D36" s="24">
        <f>D33*365</f>
        <v/>
      </c>
      <c r="E36" s="24">
        <f>E33*365</f>
        <v/>
      </c>
      <c r="F36" s="24">
        <f>F33*365</f>
        <v/>
      </c>
      <c r="G36" s="24">
        <f>G33*365</f>
        <v/>
      </c>
      <c r="H36" s="24">
        <f>H33*365</f>
        <v/>
      </c>
      <c r="I36" s="24">
        <f>I33*365</f>
        <v/>
      </c>
      <c r="J36" s="24">
        <f>J33*365</f>
        <v/>
      </c>
      <c r="K36" s="24">
        <f>K33*365</f>
        <v/>
      </c>
      <c r="L36" s="24">
        <f>L33*365</f>
        <v/>
      </c>
      <c r="M36" s="24">
        <f>M33*365</f>
        <v/>
      </c>
    </row>
    <row r="37">
      <c r="A37" s="4" t="inlineStr">
        <is>
          <t>Revenue</t>
        </is>
      </c>
      <c r="B37" s="2" t="n"/>
      <c r="C37" s="2" t="n"/>
      <c r="D37" s="24">
        <f>D36*$C$21*(1+Inputs!$G$22)^(1-1)</f>
        <v/>
      </c>
      <c r="E37" s="24">
        <f>E36*$C$21*(1+Inputs!$G$22)^(2-1)</f>
        <v/>
      </c>
      <c r="F37" s="24">
        <f>F36*$C$21*(1+Inputs!$G$22)^(3-1)</f>
        <v/>
      </c>
      <c r="G37" s="24">
        <f>G36*$C$21*(1+Inputs!$G$22)^(4-1)</f>
        <v/>
      </c>
      <c r="H37" s="24">
        <f>H36*$C$21*(1+Inputs!$G$22)^(5-1)</f>
        <v/>
      </c>
      <c r="I37" s="24">
        <f>I36*$C$21*(1+Inputs!$G$22)^(6-1)</f>
        <v/>
      </c>
      <c r="J37" s="24">
        <f>J36*$C$21*(1+Inputs!$G$22)^(7-1)</f>
        <v/>
      </c>
      <c r="K37" s="24">
        <f>K36*$C$21*(1+Inputs!$G$22)^(8-1)</f>
        <v/>
      </c>
      <c r="L37" s="24">
        <f>L36*$C$21*(1+Inputs!$G$22)^(9-1)</f>
        <v/>
      </c>
      <c r="M37" s="24">
        <f>M36*$C$21*(1+Inputs!$G$22)^(10-1)</f>
        <v/>
      </c>
    </row>
    <row r="38">
      <c r="A38" s="5" t="inlineStr">
        <is>
          <t>Electricity cost</t>
        </is>
      </c>
      <c r="B38" s="2" t="n"/>
      <c r="C38" s="2" t="n"/>
      <c r="D38" s="24">
        <f>(D36/(1-Inputs!$G$26)*$C$22+$C$23*12)*(1+Inputs!$G$25)^(1-1)</f>
        <v/>
      </c>
      <c r="E38" s="24">
        <f>(E36/(1-Inputs!$G$26)*$C$22+$C$23*12)*(1+Inputs!$G$25)^(2-1)</f>
        <v/>
      </c>
      <c r="F38" s="24">
        <f>(F36/(1-Inputs!$G$26)*$C$22+$C$23*12)*(1+Inputs!$G$25)^(3-1)</f>
        <v/>
      </c>
      <c r="G38" s="24">
        <f>(G36/(1-Inputs!$G$26)*$C$22+$C$23*12)*(1+Inputs!$G$25)^(4-1)</f>
        <v/>
      </c>
      <c r="H38" s="24">
        <f>(H36/(1-Inputs!$G$26)*$C$22+$C$23*12)*(1+Inputs!$G$25)^(5-1)</f>
        <v/>
      </c>
      <c r="I38" s="24">
        <f>(I36/(1-Inputs!$G$26)*$C$22+$C$23*12)*(1+Inputs!$G$25)^(6-1)</f>
        <v/>
      </c>
      <c r="J38" s="24">
        <f>(J36/(1-Inputs!$G$26)*$C$22+$C$23*12)*(1+Inputs!$G$25)^(7-1)</f>
        <v/>
      </c>
      <c r="K38" s="24">
        <f>(K36/(1-Inputs!$G$26)*$C$22+$C$23*12)*(1+Inputs!$G$25)^(8-1)</f>
        <v/>
      </c>
      <c r="L38" s="24">
        <f>(L36/(1-Inputs!$G$26)*$C$22+$C$23*12)*(1+Inputs!$G$25)^(9-1)</f>
        <v/>
      </c>
      <c r="M38" s="24">
        <f>(M36/(1-Inputs!$G$26)*$C$22+$C$23*12)*(1+Inputs!$G$25)^(10-1)</f>
        <v/>
      </c>
    </row>
    <row r="39">
      <c r="A39" s="5" t="inlineStr">
        <is>
          <t>Gross profit</t>
        </is>
      </c>
      <c r="B39" s="2" t="n"/>
      <c r="C39" s="2" t="n"/>
      <c r="D39" s="24">
        <f>D37-D38</f>
        <v/>
      </c>
      <c r="E39" s="24">
        <f>E37-E38</f>
        <v/>
      </c>
      <c r="F39" s="24">
        <f>F37-F38</f>
        <v/>
      </c>
      <c r="G39" s="24">
        <f>G37-G38</f>
        <v/>
      </c>
      <c r="H39" s="24">
        <f>H37-H38</f>
        <v/>
      </c>
      <c r="I39" s="24">
        <f>I37-I38</f>
        <v/>
      </c>
      <c r="J39" s="24">
        <f>J37-J38</f>
        <v/>
      </c>
      <c r="K39" s="24">
        <f>K37-K38</f>
        <v/>
      </c>
      <c r="L39" s="24">
        <f>L37-L38</f>
        <v/>
      </c>
      <c r="M39" s="24">
        <f>M37-M38</f>
        <v/>
      </c>
    </row>
    <row r="40">
      <c r="A40" s="5" t="inlineStr">
        <is>
          <t>Host revenue share</t>
        </is>
      </c>
      <c r="B40" s="2" t="n"/>
      <c r="C40" s="2" t="n"/>
      <c r="D40" s="24">
        <f>D37*$C$24</f>
        <v/>
      </c>
      <c r="E40" s="24">
        <f>E37*$C$24</f>
        <v/>
      </c>
      <c r="F40" s="24">
        <f>F37*$C$24</f>
        <v/>
      </c>
      <c r="G40" s="24">
        <f>G37*$C$24</f>
        <v/>
      </c>
      <c r="H40" s="24">
        <f>H37*$C$24</f>
        <v/>
      </c>
      <c r="I40" s="24">
        <f>I37*$C$24</f>
        <v/>
      </c>
      <c r="J40" s="24">
        <f>J37*$C$24</f>
        <v/>
      </c>
      <c r="K40" s="24">
        <f>K37*$C$24</f>
        <v/>
      </c>
      <c r="L40" s="24">
        <f>L37*$C$24</f>
        <v/>
      </c>
      <c r="M40" s="24">
        <f>M37*$C$24</f>
        <v/>
      </c>
    </row>
    <row r="41">
      <c r="A41" s="5" t="inlineStr">
        <is>
          <t>Staff</t>
        </is>
      </c>
      <c r="B41" s="2" t="n"/>
      <c r="C41" s="2" t="n"/>
      <c r="D41" s="24">
        <f>$C$25*Inputs!$G$29*12*(1+Inputs!$G$35)^(1-1)</f>
        <v/>
      </c>
      <c r="E41" s="24">
        <f>$C$25*Inputs!$G$29*12*(1+Inputs!$G$35)^(2-1)</f>
        <v/>
      </c>
      <c r="F41" s="24">
        <f>$C$25*Inputs!$G$29*12*(1+Inputs!$G$35)^(3-1)</f>
        <v/>
      </c>
      <c r="G41" s="24">
        <f>$C$25*Inputs!$G$29*12*(1+Inputs!$G$35)^(4-1)</f>
        <v/>
      </c>
      <c r="H41" s="24">
        <f>$C$25*Inputs!$G$29*12*(1+Inputs!$G$35)^(5-1)</f>
        <v/>
      </c>
      <c r="I41" s="24">
        <f>$C$25*Inputs!$G$29*12*(1+Inputs!$G$35)^(6-1)</f>
        <v/>
      </c>
      <c r="J41" s="24">
        <f>$C$25*Inputs!$G$29*12*(1+Inputs!$G$35)^(7-1)</f>
        <v/>
      </c>
      <c r="K41" s="24">
        <f>$C$25*Inputs!$G$29*12*(1+Inputs!$G$35)^(8-1)</f>
        <v/>
      </c>
      <c r="L41" s="24">
        <f>$C$25*Inputs!$G$29*12*(1+Inputs!$G$35)^(9-1)</f>
        <v/>
      </c>
      <c r="M41" s="24">
        <f>$C$25*Inputs!$G$29*12*(1+Inputs!$G$35)^(10-1)</f>
        <v/>
      </c>
    </row>
    <row r="42">
      <c r="A42" s="5" t="inlineStr">
        <is>
          <t>Maintenance</t>
        </is>
      </c>
      <c r="B42" s="2" t="n"/>
      <c r="C42" s="2" t="n"/>
      <c r="D42" s="24">
        <f>$C$11*Inputs!$G$30*(1+Inputs!$G$35)^(1-1)</f>
        <v/>
      </c>
      <c r="E42" s="24">
        <f>$C$11*Inputs!$G$30*(1+Inputs!$G$35)^(2-1)</f>
        <v/>
      </c>
      <c r="F42" s="24">
        <f>$C$11*Inputs!$G$30*(1+Inputs!$G$35)^(3-1)</f>
        <v/>
      </c>
      <c r="G42" s="24">
        <f>$C$11*Inputs!$G$30*(1+Inputs!$G$35)^(4-1)</f>
        <v/>
      </c>
      <c r="H42" s="24">
        <f>$C$11*Inputs!$G$30*(1+Inputs!$G$35)^(5-1)</f>
        <v/>
      </c>
      <c r="I42" s="24">
        <f>$C$11*Inputs!$G$30*(1+Inputs!$G$35)^(6-1)</f>
        <v/>
      </c>
      <c r="J42" s="24">
        <f>$C$11*Inputs!$G$30*(1+Inputs!$G$35)^(7-1)</f>
        <v/>
      </c>
      <c r="K42" s="24">
        <f>$C$11*Inputs!$G$30*(1+Inputs!$G$35)^(8-1)</f>
        <v/>
      </c>
      <c r="L42" s="24">
        <f>$C$11*Inputs!$G$30*(1+Inputs!$G$35)^(9-1)</f>
        <v/>
      </c>
      <c r="M42" s="24">
        <f>$C$11*Inputs!$G$30*(1+Inputs!$G$35)^(10-1)</f>
        <v/>
      </c>
    </row>
    <row r="43">
      <c r="A43" s="5" t="inlineStr">
        <is>
          <t>Software / CMS</t>
        </is>
      </c>
      <c r="B43" s="2" t="n"/>
      <c r="C43" s="2" t="n"/>
      <c r="D43" s="24">
        <f>$C$8*Inputs!$G$31*12*(1+Inputs!$G$35)^(1-1)</f>
        <v/>
      </c>
      <c r="E43" s="24">
        <f>$C$8*Inputs!$G$31*12*(1+Inputs!$G$35)^(2-1)</f>
        <v/>
      </c>
      <c r="F43" s="24">
        <f>$C$8*Inputs!$G$31*12*(1+Inputs!$G$35)^(3-1)</f>
        <v/>
      </c>
      <c r="G43" s="24">
        <f>$C$8*Inputs!$G$31*12*(1+Inputs!$G$35)^(4-1)</f>
        <v/>
      </c>
      <c r="H43" s="24">
        <f>$C$8*Inputs!$G$31*12*(1+Inputs!$G$35)^(5-1)</f>
        <v/>
      </c>
      <c r="I43" s="24">
        <f>$C$8*Inputs!$G$31*12*(1+Inputs!$G$35)^(6-1)</f>
        <v/>
      </c>
      <c r="J43" s="24">
        <f>$C$8*Inputs!$G$31*12*(1+Inputs!$G$35)^(7-1)</f>
        <v/>
      </c>
      <c r="K43" s="24">
        <f>$C$8*Inputs!$G$31*12*(1+Inputs!$G$35)^(8-1)</f>
        <v/>
      </c>
      <c r="L43" s="24">
        <f>$C$8*Inputs!$G$31*12*(1+Inputs!$G$35)^(9-1)</f>
        <v/>
      </c>
      <c r="M43" s="24">
        <f>$C$8*Inputs!$G$31*12*(1+Inputs!$G$35)^(10-1)</f>
        <v/>
      </c>
    </row>
    <row r="44">
      <c r="A44" s="5" t="inlineStr">
        <is>
          <t>Payment fees</t>
        </is>
      </c>
      <c r="B44" s="2" t="n"/>
      <c r="C44" s="2" t="n"/>
      <c r="D44" s="24">
        <f>D37*Inputs!$G$32</f>
        <v/>
      </c>
      <c r="E44" s="24">
        <f>E37*Inputs!$G$32</f>
        <v/>
      </c>
      <c r="F44" s="24">
        <f>F37*Inputs!$G$32</f>
        <v/>
      </c>
      <c r="G44" s="24">
        <f>G37*Inputs!$G$32</f>
        <v/>
      </c>
      <c r="H44" s="24">
        <f>H37*Inputs!$G$32</f>
        <v/>
      </c>
      <c r="I44" s="24">
        <f>I37*Inputs!$G$32</f>
        <v/>
      </c>
      <c r="J44" s="24">
        <f>J37*Inputs!$G$32</f>
        <v/>
      </c>
      <c r="K44" s="24">
        <f>K37*Inputs!$G$32</f>
        <v/>
      </c>
      <c r="L44" s="24">
        <f>L37*Inputs!$G$32</f>
        <v/>
      </c>
      <c r="M44" s="24">
        <f>M37*Inputs!$G$32</f>
        <v/>
      </c>
    </row>
    <row r="45">
      <c r="A45" s="5" t="inlineStr">
        <is>
          <t>Insurance</t>
        </is>
      </c>
      <c r="B45" s="2" t="n"/>
      <c r="C45" s="2" t="n"/>
      <c r="D45" s="24">
        <f>$C$16*Inputs!$G$33*(1+Inputs!$G$35)^(1-1)</f>
        <v/>
      </c>
      <c r="E45" s="24">
        <f>$C$16*Inputs!$G$33*(1+Inputs!$G$35)^(2-1)</f>
        <v/>
      </c>
      <c r="F45" s="24">
        <f>$C$16*Inputs!$G$33*(1+Inputs!$G$35)^(3-1)</f>
        <v/>
      </c>
      <c r="G45" s="24">
        <f>$C$16*Inputs!$G$33*(1+Inputs!$G$35)^(4-1)</f>
        <v/>
      </c>
      <c r="H45" s="24">
        <f>$C$16*Inputs!$G$33*(1+Inputs!$G$35)^(5-1)</f>
        <v/>
      </c>
      <c r="I45" s="24">
        <f>$C$16*Inputs!$G$33*(1+Inputs!$G$35)^(6-1)</f>
        <v/>
      </c>
      <c r="J45" s="24">
        <f>$C$16*Inputs!$G$33*(1+Inputs!$G$35)^(7-1)</f>
        <v/>
      </c>
      <c r="K45" s="24">
        <f>$C$16*Inputs!$G$33*(1+Inputs!$G$35)^(8-1)</f>
        <v/>
      </c>
      <c r="L45" s="24">
        <f>$C$16*Inputs!$G$33*(1+Inputs!$G$35)^(9-1)</f>
        <v/>
      </c>
      <c r="M45" s="24">
        <f>$C$16*Inputs!$G$33*(1+Inputs!$G$35)^(10-1)</f>
        <v/>
      </c>
    </row>
    <row r="46">
      <c r="A46" s="5" t="inlineStr">
        <is>
          <t>Misc (internet, cleaning, admin)</t>
        </is>
      </c>
      <c r="B46" s="2" t="n"/>
      <c r="C46" s="2" t="n"/>
      <c r="D46" s="24">
        <f>Inputs!$G$34*12*(1+Inputs!$G$35)^(1-1)</f>
        <v/>
      </c>
      <c r="E46" s="24">
        <f>Inputs!$G$34*12*(1+Inputs!$G$35)^(2-1)</f>
        <v/>
      </c>
      <c r="F46" s="24">
        <f>Inputs!$G$34*12*(1+Inputs!$G$35)^(3-1)</f>
        <v/>
      </c>
      <c r="G46" s="24">
        <f>Inputs!$G$34*12*(1+Inputs!$G$35)^(4-1)</f>
        <v/>
      </c>
      <c r="H46" s="24">
        <f>Inputs!$G$34*12*(1+Inputs!$G$35)^(5-1)</f>
        <v/>
      </c>
      <c r="I46" s="24">
        <f>Inputs!$G$34*12*(1+Inputs!$G$35)^(6-1)</f>
        <v/>
      </c>
      <c r="J46" s="24">
        <f>Inputs!$G$34*12*(1+Inputs!$G$35)^(7-1)</f>
        <v/>
      </c>
      <c r="K46" s="24">
        <f>Inputs!$G$34*12*(1+Inputs!$G$35)^(8-1)</f>
        <v/>
      </c>
      <c r="L46" s="24">
        <f>Inputs!$G$34*12*(1+Inputs!$G$35)^(9-1)</f>
        <v/>
      </c>
      <c r="M46" s="24">
        <f>Inputs!$G$34*12*(1+Inputs!$G$35)^(10-1)</f>
        <v/>
      </c>
    </row>
    <row r="47">
      <c r="A47" s="5" t="inlineStr">
        <is>
          <t>Opex excl. electricity</t>
        </is>
      </c>
      <c r="B47" s="2" t="n"/>
      <c r="C47" s="2" t="n"/>
      <c r="D47" s="24">
        <f>SUM(D40:D46)</f>
        <v/>
      </c>
      <c r="E47" s="24">
        <f>SUM(E40:E46)</f>
        <v/>
      </c>
      <c r="F47" s="24">
        <f>SUM(F40:F46)</f>
        <v/>
      </c>
      <c r="G47" s="24">
        <f>SUM(G40:G46)</f>
        <v/>
      </c>
      <c r="H47" s="24">
        <f>SUM(H40:H46)</f>
        <v/>
      </c>
      <c r="I47" s="24">
        <f>SUM(I40:I46)</f>
        <v/>
      </c>
      <c r="J47" s="24">
        <f>SUM(J40:J46)</f>
        <v/>
      </c>
      <c r="K47" s="24">
        <f>SUM(K40:K46)</f>
        <v/>
      </c>
      <c r="L47" s="24">
        <f>SUM(L40:L46)</f>
        <v/>
      </c>
      <c r="M47" s="24">
        <f>SUM(M40:M46)</f>
        <v/>
      </c>
    </row>
    <row r="48">
      <c r="A48" s="4" t="inlineStr">
        <is>
          <t>EBITDA</t>
        </is>
      </c>
      <c r="B48" s="2" t="n"/>
      <c r="C48" s="2" t="n"/>
      <c r="D48" s="24">
        <f>D39-D47</f>
        <v/>
      </c>
      <c r="E48" s="24">
        <f>E39-E47</f>
        <v/>
      </c>
      <c r="F48" s="24">
        <f>F39-F47</f>
        <v/>
      </c>
      <c r="G48" s="24">
        <f>G39-G47</f>
        <v/>
      </c>
      <c r="H48" s="24">
        <f>H39-H47</f>
        <v/>
      </c>
      <c r="I48" s="24">
        <f>I39-I47</f>
        <v/>
      </c>
      <c r="J48" s="24">
        <f>J39-J47</f>
        <v/>
      </c>
      <c r="K48" s="24">
        <f>K39-K47</f>
        <v/>
      </c>
      <c r="L48" s="24">
        <f>L39-L47</f>
        <v/>
      </c>
      <c r="M48" s="24">
        <f>M39-M47</f>
        <v/>
      </c>
    </row>
    <row r="49">
      <c r="A49" s="5" t="inlineStr">
        <is>
          <t>EBITDA margin</t>
        </is>
      </c>
      <c r="B49" s="2" t="n"/>
      <c r="C49" s="2" t="n"/>
      <c r="D49" s="28">
        <f>IFERROR(D48/D37,0)</f>
        <v/>
      </c>
      <c r="E49" s="28">
        <f>IFERROR(E48/E37,0)</f>
        <v/>
      </c>
      <c r="F49" s="28">
        <f>IFERROR(F48/F37,0)</f>
        <v/>
      </c>
      <c r="G49" s="28">
        <f>IFERROR(G48/G37,0)</f>
        <v/>
      </c>
      <c r="H49" s="28">
        <f>IFERROR(H48/H37,0)</f>
        <v/>
      </c>
      <c r="I49" s="28">
        <f>IFERROR(I48/I37,0)</f>
        <v/>
      </c>
      <c r="J49" s="28">
        <f>IFERROR(J48/J37,0)</f>
        <v/>
      </c>
      <c r="K49" s="28">
        <f>IFERROR(K48/K37,0)</f>
        <v/>
      </c>
      <c r="L49" s="28">
        <f>IFERROR(L48/L37,0)</f>
        <v/>
      </c>
      <c r="M49" s="28">
        <f>IFERROR(M48/M37,0)</f>
        <v/>
      </c>
    </row>
    <row r="50">
      <c r="A50" s="5" t="inlineStr">
        <is>
          <t>Depreciation</t>
        </is>
      </c>
      <c r="B50" s="2" t="n"/>
      <c r="C50" s="2" t="n"/>
      <c r="D50" s="24">
        <f>$C$27</f>
        <v/>
      </c>
      <c r="E50" s="24">
        <f>$C$27</f>
        <v/>
      </c>
      <c r="F50" s="24">
        <f>$C$27</f>
        <v/>
      </c>
      <c r="G50" s="24">
        <f>$C$27</f>
        <v/>
      </c>
      <c r="H50" s="24">
        <f>$C$27</f>
        <v/>
      </c>
      <c r="I50" s="24">
        <f>$C$27</f>
        <v/>
      </c>
      <c r="J50" s="24">
        <f>$C$27</f>
        <v/>
      </c>
      <c r="K50" s="24">
        <f>$C$27</f>
        <v/>
      </c>
      <c r="L50" s="24">
        <f>$C$27</f>
        <v/>
      </c>
      <c r="M50" s="24">
        <f>$C$27</f>
        <v/>
      </c>
    </row>
    <row r="51">
      <c r="A51" s="5" t="inlineStr">
        <is>
          <t>EBIT</t>
        </is>
      </c>
      <c r="B51" s="2" t="n"/>
      <c r="C51" s="2" t="n"/>
      <c r="D51" s="24">
        <f>D48-D50</f>
        <v/>
      </c>
      <c r="E51" s="24">
        <f>E48-E50</f>
        <v/>
      </c>
      <c r="F51" s="24">
        <f>F48-F50</f>
        <v/>
      </c>
      <c r="G51" s="24">
        <f>G48-G50</f>
        <v/>
      </c>
      <c r="H51" s="24">
        <f>H48-H50</f>
        <v/>
      </c>
      <c r="I51" s="24">
        <f>I48-I50</f>
        <v/>
      </c>
      <c r="J51" s="24">
        <f>J48-J50</f>
        <v/>
      </c>
      <c r="K51" s="24">
        <f>K48-K50</f>
        <v/>
      </c>
      <c r="L51" s="24">
        <f>L48-L50</f>
        <v/>
      </c>
      <c r="M51" s="24">
        <f>M48-M50</f>
        <v/>
      </c>
    </row>
    <row r="52">
      <c r="A52" s="5" t="inlineStr">
        <is>
          <t>Tax losses brought forward</t>
        </is>
      </c>
      <c r="B52" s="2" t="n"/>
      <c r="C52" s="2" t="n"/>
      <c r="D52" s="24">
        <f>0</f>
        <v/>
      </c>
      <c r="E52" s="24">
        <f>D52+MAX(0,-D51)-D53</f>
        <v/>
      </c>
      <c r="F52" s="24">
        <f>E52+MAX(0,-E51)-E53</f>
        <v/>
      </c>
      <c r="G52" s="24">
        <f>F52+MAX(0,-F51)-F53</f>
        <v/>
      </c>
      <c r="H52" s="24">
        <f>G52+MAX(0,-G51)-G53</f>
        <v/>
      </c>
      <c r="I52" s="24">
        <f>H52+MAX(0,-H51)-H53</f>
        <v/>
      </c>
      <c r="J52" s="24">
        <f>I52+MAX(0,-I51)-I53</f>
        <v/>
      </c>
      <c r="K52" s="24">
        <f>J52+MAX(0,-J51)-J53</f>
        <v/>
      </c>
      <c r="L52" s="24">
        <f>K52+MAX(0,-K51)-K53</f>
        <v/>
      </c>
      <c r="M52" s="24">
        <f>L52+MAX(0,-L51)-L53</f>
        <v/>
      </c>
    </row>
    <row r="53">
      <c r="A53" s="5" t="inlineStr">
        <is>
          <t>Tax losses used</t>
        </is>
      </c>
      <c r="B53" s="2" t="n"/>
      <c r="C53" s="2" t="n"/>
      <c r="D53" s="24">
        <f>MIN(D52,MAX(0,D51))</f>
        <v/>
      </c>
      <c r="E53" s="24">
        <f>MIN(E52,MAX(0,E51))</f>
        <v/>
      </c>
      <c r="F53" s="24">
        <f>MIN(F52,MAX(0,F51))</f>
        <v/>
      </c>
      <c r="G53" s="24">
        <f>MIN(G52,MAX(0,G51))</f>
        <v/>
      </c>
      <c r="H53" s="24">
        <f>MIN(H52,MAX(0,H51))</f>
        <v/>
      </c>
      <c r="I53" s="24">
        <f>MIN(I52,MAX(0,I51))</f>
        <v/>
      </c>
      <c r="J53" s="24">
        <f>MIN(J52,MAX(0,J51))</f>
        <v/>
      </c>
      <c r="K53" s="24">
        <f>MIN(K52,MAX(0,K51))</f>
        <v/>
      </c>
      <c r="L53" s="24">
        <f>MIN(L52,MAX(0,L51))</f>
        <v/>
      </c>
      <c r="M53" s="24">
        <f>MIN(M52,MAX(0,M51))</f>
        <v/>
      </c>
    </row>
    <row r="54">
      <c r="A54" s="5" t="inlineStr">
        <is>
          <t>Tax</t>
        </is>
      </c>
      <c r="B54" s="2" t="n"/>
      <c r="C54" s="2" t="n"/>
      <c r="D54" s="24">
        <f>MAX(0,D51-D53)*Inputs!$G$41</f>
        <v/>
      </c>
      <c r="E54" s="24">
        <f>MAX(0,E51-E53)*Inputs!$G$41</f>
        <v/>
      </c>
      <c r="F54" s="24">
        <f>MAX(0,F51-F53)*Inputs!$G$41</f>
        <v/>
      </c>
      <c r="G54" s="24">
        <f>MAX(0,G51-G53)*Inputs!$G$41</f>
        <v/>
      </c>
      <c r="H54" s="24">
        <f>MAX(0,H51-H53)*Inputs!$G$41</f>
        <v/>
      </c>
      <c r="I54" s="24">
        <f>MAX(0,I51-I53)*Inputs!$G$41</f>
        <v/>
      </c>
      <c r="J54" s="24">
        <f>MAX(0,J51-J53)*Inputs!$G$41</f>
        <v/>
      </c>
      <c r="K54" s="24">
        <f>MAX(0,K51-K53)*Inputs!$G$41</f>
        <v/>
      </c>
      <c r="L54" s="24">
        <f>MAX(0,L51-L53)*Inputs!$G$41</f>
        <v/>
      </c>
      <c r="M54" s="24">
        <f>MAX(0,M51-M53)*Inputs!$G$41</f>
        <v/>
      </c>
    </row>
    <row r="55">
      <c r="A55" s="5" t="inlineStr">
        <is>
          <t>Free cash flow (EBITDA - tax)</t>
        </is>
      </c>
      <c r="B55" s="2" t="n"/>
      <c r="C55" s="2" t="n"/>
      <c r="D55" s="24">
        <f>D48-D54</f>
        <v/>
      </c>
      <c r="E55" s="24">
        <f>E48-E54</f>
        <v/>
      </c>
      <c r="F55" s="24">
        <f>F48-F54</f>
        <v/>
      </c>
      <c r="G55" s="24">
        <f>G48-G54</f>
        <v/>
      </c>
      <c r="H55" s="24">
        <f>H48-H54</f>
        <v/>
      </c>
      <c r="I55" s="24">
        <f>I48-I54</f>
        <v/>
      </c>
      <c r="J55" s="24">
        <f>J48-J54</f>
        <v/>
      </c>
      <c r="K55" s="24">
        <f>K48-K54</f>
        <v/>
      </c>
      <c r="L55" s="24">
        <f>L48-L54</f>
        <v/>
      </c>
      <c r="M55" s="24">
        <f>M48-M54</f>
        <v/>
      </c>
    </row>
    <row r="56">
      <c r="A56" s="5" t="inlineStr">
        <is>
          <t>CAPEX + working capital</t>
        </is>
      </c>
      <c r="B56" s="2" t="n"/>
      <c r="C56" s="30">
        <f>-($C$16+(D38+D47)/12)</f>
        <v/>
      </c>
      <c r="D56" s="24">
        <f>0</f>
        <v/>
      </c>
      <c r="E56" s="24">
        <f>0</f>
        <v/>
      </c>
      <c r="F56" s="24">
        <f>0</f>
        <v/>
      </c>
      <c r="G56" s="24">
        <f>0</f>
        <v/>
      </c>
      <c r="H56" s="24">
        <f>0</f>
        <v/>
      </c>
      <c r="I56" s="24">
        <f>0</f>
        <v/>
      </c>
      <c r="J56" s="24">
        <f>0</f>
        <v/>
      </c>
      <c r="K56" s="24">
        <f>0</f>
        <v/>
      </c>
      <c r="L56" s="24">
        <f>0</f>
        <v/>
      </c>
      <c r="M56" s="24">
        <f>-C56-$C$16</f>
        <v/>
      </c>
    </row>
    <row r="57">
      <c r="A57" s="4" t="inlineStr">
        <is>
          <t>Net cash flow</t>
        </is>
      </c>
      <c r="B57" s="2" t="n"/>
      <c r="C57" s="30">
        <f>C56</f>
        <v/>
      </c>
      <c r="D57" s="24">
        <f>D55+D56</f>
        <v/>
      </c>
      <c r="E57" s="24">
        <f>E55+E56</f>
        <v/>
      </c>
      <c r="F57" s="24">
        <f>F55+F56</f>
        <v/>
      </c>
      <c r="G57" s="24">
        <f>G55+G56</f>
        <v/>
      </c>
      <c r="H57" s="24">
        <f>H55+H56</f>
        <v/>
      </c>
      <c r="I57" s="24">
        <f>I55+I56</f>
        <v/>
      </c>
      <c r="J57" s="24">
        <f>J55+J56</f>
        <v/>
      </c>
      <c r="K57" s="24">
        <f>K55+K56</f>
        <v/>
      </c>
      <c r="L57" s="24">
        <f>L55+L56</f>
        <v/>
      </c>
      <c r="M57" s="24">
        <f>M55+M56</f>
        <v/>
      </c>
    </row>
    <row r="58">
      <c r="A58" s="5" t="inlineStr">
        <is>
          <t>Cumulative cash flow</t>
        </is>
      </c>
      <c r="B58" s="2" t="n"/>
      <c r="C58" s="30">
        <f>C57</f>
        <v/>
      </c>
      <c r="D58" s="24">
        <f>C58+D57</f>
        <v/>
      </c>
      <c r="E58" s="24">
        <f>D58+E57</f>
        <v/>
      </c>
      <c r="F58" s="24">
        <f>E58+F57</f>
        <v/>
      </c>
      <c r="G58" s="24">
        <f>F58+G57</f>
        <v/>
      </c>
      <c r="H58" s="24">
        <f>G58+H57</f>
        <v/>
      </c>
      <c r="I58" s="24">
        <f>H58+I57</f>
        <v/>
      </c>
      <c r="J58" s="24">
        <f>I58+J57</f>
        <v/>
      </c>
      <c r="K58" s="24">
        <f>J58+K57</f>
        <v/>
      </c>
      <c r="L58" s="24">
        <f>K58+L57</f>
        <v/>
      </c>
      <c r="M58" s="24">
        <f>L58+M57</f>
        <v/>
      </c>
    </row>
    <row r="59">
      <c r="A59" s="5" t="inlineStr">
        <is>
          <t>Payback helper</t>
        </is>
      </c>
      <c r="B59" s="2" t="n"/>
      <c r="C59" s="2" t="n"/>
      <c r="D59" s="24">
        <f>IF(AND(C58&lt;0,D58&gt;=0),1-1-C58/D57,"")</f>
        <v/>
      </c>
      <c r="E59" s="24">
        <f>IF(AND(D58&lt;0,E58&gt;=0),2-1-D58/E57,"")</f>
        <v/>
      </c>
      <c r="F59" s="24">
        <f>IF(AND(E58&lt;0,F58&gt;=0),3-1-E58/F57,"")</f>
        <v/>
      </c>
      <c r="G59" s="24">
        <f>IF(AND(F58&lt;0,G58&gt;=0),4-1-F58/G57,"")</f>
        <v/>
      </c>
      <c r="H59" s="24">
        <f>IF(AND(G58&lt;0,H58&gt;=0),5-1-G58/H57,"")</f>
        <v/>
      </c>
      <c r="I59" s="24">
        <f>IF(AND(H58&lt;0,I58&gt;=0),6-1-H58/I57,"")</f>
        <v/>
      </c>
      <c r="J59" s="24">
        <f>IF(AND(I58&lt;0,J58&gt;=0),7-1-I58/J57,"")</f>
        <v/>
      </c>
      <c r="K59" s="24">
        <f>IF(AND(J58&lt;0,K58&gt;=0),8-1-J58/K57,"")</f>
        <v/>
      </c>
      <c r="L59" s="24">
        <f>IF(AND(K58&lt;0,L58&gt;=0),9-1-K58/L57,"")</f>
        <v/>
      </c>
      <c r="M59" s="24">
        <f>IF(AND(L58&lt;0,M58&gt;=0),10-1-L58/M57,"")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4" t="inlineStr">
        <is>
          <t>OUTPUTS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4" t="inlineStr">
        <is>
          <t>NPV (Rs)</t>
        </is>
      </c>
      <c r="B62" s="2" t="n"/>
      <c r="C62" s="31">
        <f>NPV($C$26,D57:M57)+C57</f>
        <v/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4" t="inlineStr">
        <is>
          <t>IRR</t>
        </is>
      </c>
      <c r="B63" s="2" t="n"/>
      <c r="C63" s="32">
        <f>IF(SUM(C57:M57)&lt;0,"n/a (never recovers)",IFERROR(IRR(C57:M57,0.1),"n/a"))</f>
        <v/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4" t="inlineStr">
        <is>
          <t>Payback (years)</t>
        </is>
      </c>
      <c r="B64" s="2" t="n"/>
      <c r="C64" s="33">
        <f>IF(COUNT(D59:M59)=0,"Not within 10 years",MIN(D59:M59))</f>
        <v/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5" t="inlineStr">
        <is>
          <t>Year-1 utilisation</t>
        </is>
      </c>
      <c r="B65" s="2" t="n"/>
      <c r="C65" s="28">
        <f>D35</f>
        <v/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5" t="inlineStr">
        <is>
          <t>Year-5 utilisation</t>
        </is>
      </c>
      <c r="B66" s="2" t="n"/>
      <c r="C66" s="28">
        <f>H35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5" t="inlineStr">
        <is>
          <t>Year-1 revenue (Rs)</t>
        </is>
      </c>
      <c r="B67" s="2" t="n"/>
      <c r="C67" s="24">
        <f>D37</f>
        <v/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5" t="inlineStr">
        <is>
          <t>Year-1 EBITDA (Rs)</t>
        </is>
      </c>
      <c r="B68" s="2" t="n"/>
      <c r="C68" s="24">
        <f>D48</f>
        <v/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 t="inlineStr">
        <is>
          <t>Year-5 EBITDA (Rs)</t>
        </is>
      </c>
      <c r="B69" s="2" t="n"/>
      <c r="C69" s="24">
        <f>H48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5" t="inlineStr">
        <is>
          <t>Year-5 EBITDA margin</t>
        </is>
      </c>
      <c r="B70" s="2" t="n"/>
      <c r="C70" s="28">
        <f>H49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5" t="inlineStr">
        <is>
          <t>Contribution per kWh, year 1 (Rs)</t>
        </is>
      </c>
      <c r="B71" s="2" t="n"/>
      <c r="C71" s="27">
        <f>$C$21*(1-$C$24-Inputs!$G$32)-$C$22/(1-Inputs!$G$26)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5" t="inlineStr">
        <is>
          <t>Fixed costs, year 1 (Rs)</t>
        </is>
      </c>
      <c r="B72" s="2" t="n"/>
      <c r="C72" s="24">
        <f>D41+D42+D43+D45+D46+$C$23*12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5" t="inlineStr">
        <is>
          <t>EBITDA break-even, kWh/day</t>
        </is>
      </c>
      <c r="B73" s="2" t="n"/>
      <c r="C73" s="26">
        <f>IF(C71&gt;0,C72/C71/365,"n/a")</f>
        <v/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5" t="inlineStr">
        <is>
          <t>EBITDA break-even, sessions/day</t>
        </is>
      </c>
      <c r="B74" s="2" t="n"/>
      <c r="C74" s="26">
        <f>IFERROR(C73/Inputs!$G$20,"n/a")</f>
        <v/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5" t="inlineStr">
        <is>
          <t>EBITDA break-even, utilisation</t>
        </is>
      </c>
      <c r="B75" s="2" t="n"/>
      <c r="C75" s="28">
        <f>IFERROR(C73/$C$18,"n/a")</f>
        <v/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Hyderabad - aggressive scenario - station model (all formulas)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Green = link to Inputs, black = calculation. Change inputs on the Inputs sheet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Configuration</t>
        </is>
      </c>
      <c r="B4" s="2" t="n"/>
      <c r="C4" s="20">
        <f>Inputs!$C$4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60 kW DC chargers</t>
        </is>
      </c>
      <c r="B5" s="2" t="n"/>
      <c r="C5" s="21">
        <f>INDEX(Inputs!$C$63:$C$65,MATCH(C4,Inputs!$A$63:$A$65,0))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120 kW DC chargers</t>
        </is>
      </c>
      <c r="B6" s="2" t="n"/>
      <c r="C6" s="21">
        <f>INDEX(Inputs!$D$63:$D$65,MATCH(C4,Inputs!$A$63:$A$65,0))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7.4 kW AC chargers</t>
        </is>
      </c>
      <c r="B7" s="2" t="n"/>
      <c r="C7" s="21">
        <f>INDEX(Inputs!$E$63:$E$65,MATCH(C4,Inputs!$A$63:$A$65,0))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Total chargers</t>
        </is>
      </c>
      <c r="B8" s="2" t="n"/>
      <c r="C8" s="21">
        <f>C5+C6+C7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5" t="inlineStr">
        <is>
          <t>Total connected kW</t>
        </is>
      </c>
      <c r="B9" s="2" t="n"/>
      <c r="C9" s="22">
        <f>C5*60+C6*120+C7*7.4</f>
        <v/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 t="inlineStr">
        <is>
          <t>CAPEX multiplier (scenario x control)</t>
        </is>
      </c>
      <c r="B10" s="2" t="n"/>
      <c r="C10" s="23">
        <f>Inputs!$H$36*Inputs!$C$8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 t="inlineStr">
        <is>
          <t>Chargers (Rs)</t>
        </is>
      </c>
      <c r="B11" s="2" t="n"/>
      <c r="C11" s="24">
        <f>(C5*Inputs!$C$50+C6*Inputs!$C$51+C7*Inputs!$C$52)*C10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5" t="inlineStr">
        <is>
          <t>Grid connection work (Rs)</t>
        </is>
      </c>
      <c r="B12" s="2" t="n"/>
      <c r="C12" s="24">
        <f>INDEX(Inputs!$G$63:$G$65,MATCH(C4,Inputs!$A$63:$A$65,0))*100000*C10*Inputs!$C$9</f>
        <v/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5" t="inlineStr">
        <is>
          <t>Civil &amp; installation (Rs)</t>
        </is>
      </c>
      <c r="B13" s="2" t="n"/>
      <c r="C13" s="24">
        <f>((C5+C6)*Inputs!$C$53+C7*Inputs!$C$54)*C10</f>
        <v/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5" t="inlineStr">
        <is>
          <t>Signage, software set-up, permits (Rs)</t>
        </is>
      </c>
      <c r="B14" s="2" t="n"/>
      <c r="C14" s="24">
        <f>Inputs!$C$55+Inputs!$C$56+Inputs!$C$57</f>
        <v/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 t="inlineStr">
        <is>
          <t>Contingency (Rs)</t>
        </is>
      </c>
      <c r="B15" s="2" t="n"/>
      <c r="C15" s="24">
        <f>SUM(C11:C14)*Inputs!$H$37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4" t="inlineStr">
        <is>
          <t>TOTAL CAPEX (Rs)</t>
        </is>
      </c>
      <c r="B16" s="2" t="n"/>
      <c r="C16" s="25">
        <f>SUM(C11:C15)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5" t="inlineStr">
        <is>
          <t>Capacity, kWh/day (at max practical utilisation)</t>
        </is>
      </c>
      <c r="B17" s="2" t="n"/>
      <c r="C17" s="26">
        <f>C9*Inputs!$H$39*24*Inputs!$H$40*Inputs!$H$38</f>
        <v/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5" t="inlineStr">
        <is>
          <t>Energy if in use 24h, kWh/day (for utilisation %)</t>
        </is>
      </c>
      <c r="B18" s="2" t="n"/>
      <c r="C18" s="26">
        <f>C9*Inputs!$H$39*24</f>
        <v/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 t="inlineStr">
        <is>
          <t>Fair share of public demand, kWh/day</t>
        </is>
      </c>
      <c r="B19" s="2" t="n"/>
      <c r="C19" s="26">
        <f>Inputs!$H$15/Inputs!$H$16</f>
        <v/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 t="inlineStr">
        <is>
          <t>Steady demand year 1, kWh/day</t>
        </is>
      </c>
      <c r="B20" s="2" t="n"/>
      <c r="C20" s="26">
        <f>C19*Inputs!$H$17*Inputs!$C$5</f>
        <v/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5" t="inlineStr">
        <is>
          <t>Price net of GST year 1 (Rs/kWh)</t>
        </is>
      </c>
      <c r="B21" s="2" t="n"/>
      <c r="C21" s="27">
        <f>Inputs!$H$21*Inputs!$C$6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5" t="inlineStr">
        <is>
          <t>Electricity tariff year 1 (Rs/kWh)</t>
        </is>
      </c>
      <c r="B22" s="2" t="n"/>
      <c r="C22" s="27">
        <f>Inputs!$H$23*Inputs!$C$7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5" t="inlineStr">
        <is>
          <t>Fixed electricity charge (Rs/month)</t>
        </is>
      </c>
      <c r="B23" s="2" t="n"/>
      <c r="C23" s="24">
        <f>IF(AND(TRUE,C9&gt;150),C9/0.95*Inputs!$C$58+Inputs!$C$59,Inputs!$H$24)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5" t="inlineStr">
        <is>
          <t>Host revenue share</t>
        </is>
      </c>
      <c r="B24" s="2" t="n"/>
      <c r="C24" s="28">
        <f>IF(Inputs!$C$11="",Inputs!$H$27,Inputs!$C$11)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5" t="inlineStr">
        <is>
          <t>Staff FTE</t>
        </is>
      </c>
      <c r="B25" s="2" t="n"/>
      <c r="C25" s="22">
        <f>IF(Inputs!$C$10="",Inputs!$H$28,Inputs!$C$10)</f>
        <v/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 t="inlineStr">
        <is>
          <t>Discount rate (CAPM: Rf + beta x ERP)</t>
        </is>
      </c>
      <c r="B26" s="2" t="n"/>
      <c r="C26" s="28">
        <f>IF(Inputs!$C$12="",Inputs!$H$44+Inputs!$H$46*Inputs!$H$45,Inputs!$C$12)</f>
        <v/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5" t="inlineStr">
        <is>
          <t>Annual depreciation (Rs)</t>
        </is>
      </c>
      <c r="B27" s="2" t="n"/>
      <c r="C27" s="24">
        <f>C16/Inputs!$H$42</f>
        <v/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4" t="inlineStr">
        <is>
          <t>ANNUAL PROJECTION (Rs unless stated)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4" t="inlineStr">
        <is>
          <t>Year</t>
        </is>
      </c>
      <c r="B31" s="2" t="n"/>
      <c r="C31" s="29" t="inlineStr">
        <is>
          <t>0</t>
        </is>
      </c>
      <c r="D31" s="29" t="inlineStr">
        <is>
          <t>1</t>
        </is>
      </c>
      <c r="E31" s="29" t="inlineStr">
        <is>
          <t>2</t>
        </is>
      </c>
      <c r="F31" s="29" t="inlineStr">
        <is>
          <t>3</t>
        </is>
      </c>
      <c r="G31" s="29" t="inlineStr">
        <is>
          <t>4</t>
        </is>
      </c>
      <c r="H31" s="29" t="inlineStr">
        <is>
          <t>5</t>
        </is>
      </c>
      <c r="I31" s="29" t="inlineStr">
        <is>
          <t>6</t>
        </is>
      </c>
      <c r="J31" s="29" t="inlineStr">
        <is>
          <t>7</t>
        </is>
      </c>
      <c r="K31" s="29" t="inlineStr">
        <is>
          <t>8</t>
        </is>
      </c>
      <c r="L31" s="29" t="inlineStr">
        <is>
          <t>9</t>
        </is>
      </c>
      <c r="M31" s="29" t="inlineStr">
        <is>
          <t>10</t>
        </is>
      </c>
    </row>
    <row r="32">
      <c r="A32" s="5" t="inlineStr">
        <is>
          <t>Demand kWh/day</t>
        </is>
      </c>
      <c r="B32" s="2" t="n"/>
      <c r="C32" s="2" t="n"/>
      <c r="D32" s="26">
        <f>$C$20*(1+Inputs!$H$19)^(1-1)*Inputs!$H$18</f>
        <v/>
      </c>
      <c r="E32" s="26">
        <f>$C$20*(1+Inputs!$H$19)^(2-1)</f>
        <v/>
      </c>
      <c r="F32" s="26">
        <f>$C$20*(1+Inputs!$H$19)^(3-1)</f>
        <v/>
      </c>
      <c r="G32" s="26">
        <f>$C$20*(1+Inputs!$H$19)^(4-1)</f>
        <v/>
      </c>
      <c r="H32" s="26">
        <f>$C$20*(1+Inputs!$H$19)^(5-1)</f>
        <v/>
      </c>
      <c r="I32" s="26">
        <f>$C$20*(1+Inputs!$H$19)^(6-1)</f>
        <v/>
      </c>
      <c r="J32" s="26">
        <f>$C$20*(1+Inputs!$H$19)^(7-1)</f>
        <v/>
      </c>
      <c r="K32" s="26">
        <f>$C$20*(1+Inputs!$H$19)^(8-1)</f>
        <v/>
      </c>
      <c r="L32" s="26">
        <f>$C$20*(1+Inputs!$H$19)^(9-1)</f>
        <v/>
      </c>
      <c r="M32" s="26">
        <f>$C$20*(1+Inputs!$H$19)^(10-1)</f>
        <v/>
      </c>
    </row>
    <row r="33">
      <c r="A33" s="5" t="inlineStr">
        <is>
          <t>kWh sold per day</t>
        </is>
      </c>
      <c r="B33" s="2" t="n"/>
      <c r="C33" s="2" t="n"/>
      <c r="D33" s="26">
        <f>MIN(D32,$C$17)</f>
        <v/>
      </c>
      <c r="E33" s="26">
        <f>MIN(E32,$C$17)</f>
        <v/>
      </c>
      <c r="F33" s="26">
        <f>MIN(F32,$C$17)</f>
        <v/>
      </c>
      <c r="G33" s="26">
        <f>MIN(G32,$C$17)</f>
        <v/>
      </c>
      <c r="H33" s="26">
        <f>MIN(H32,$C$17)</f>
        <v/>
      </c>
      <c r="I33" s="26">
        <f>MIN(I32,$C$17)</f>
        <v/>
      </c>
      <c r="J33" s="26">
        <f>MIN(J32,$C$17)</f>
        <v/>
      </c>
      <c r="K33" s="26">
        <f>MIN(K32,$C$17)</f>
        <v/>
      </c>
      <c r="L33" s="26">
        <f>MIN(L32,$C$17)</f>
        <v/>
      </c>
      <c r="M33" s="26">
        <f>MIN(M32,$C$17)</f>
        <v/>
      </c>
    </row>
    <row r="34">
      <c r="A34" s="5" t="inlineStr">
        <is>
          <t>Sessions per day</t>
        </is>
      </c>
      <c r="B34" s="2" t="n"/>
      <c r="C34" s="2" t="n"/>
      <c r="D34" s="26">
        <f>D33/Inputs!$H$20</f>
        <v/>
      </c>
      <c r="E34" s="26">
        <f>E33/Inputs!$H$20</f>
        <v/>
      </c>
      <c r="F34" s="26">
        <f>F33/Inputs!$H$20</f>
        <v/>
      </c>
      <c r="G34" s="26">
        <f>G33/Inputs!$H$20</f>
        <v/>
      </c>
      <c r="H34" s="26">
        <f>H33/Inputs!$H$20</f>
        <v/>
      </c>
      <c r="I34" s="26">
        <f>I33/Inputs!$H$20</f>
        <v/>
      </c>
      <c r="J34" s="26">
        <f>J33/Inputs!$H$20</f>
        <v/>
      </c>
      <c r="K34" s="26">
        <f>K33/Inputs!$H$20</f>
        <v/>
      </c>
      <c r="L34" s="26">
        <f>L33/Inputs!$H$20</f>
        <v/>
      </c>
      <c r="M34" s="26">
        <f>M33/Inputs!$H$20</f>
        <v/>
      </c>
    </row>
    <row r="35">
      <c r="A35" s="5" t="inlineStr">
        <is>
          <t>Utilisation (% of hours)</t>
        </is>
      </c>
      <c r="B35" s="2" t="n"/>
      <c r="C35" s="2" t="n"/>
      <c r="D35" s="28">
        <f>D33/$C$18</f>
        <v/>
      </c>
      <c r="E35" s="28">
        <f>E33/$C$18</f>
        <v/>
      </c>
      <c r="F35" s="28">
        <f>F33/$C$18</f>
        <v/>
      </c>
      <c r="G35" s="28">
        <f>G33/$C$18</f>
        <v/>
      </c>
      <c r="H35" s="28">
        <f>H33/$C$18</f>
        <v/>
      </c>
      <c r="I35" s="28">
        <f>I33/$C$18</f>
        <v/>
      </c>
      <c r="J35" s="28">
        <f>J33/$C$18</f>
        <v/>
      </c>
      <c r="K35" s="28">
        <f>K33/$C$18</f>
        <v/>
      </c>
      <c r="L35" s="28">
        <f>L33/$C$18</f>
        <v/>
      </c>
      <c r="M35" s="28">
        <f>M33/$C$18</f>
        <v/>
      </c>
    </row>
    <row r="36">
      <c r="A36" s="5" t="inlineStr">
        <is>
          <t>kWh sold per year</t>
        </is>
      </c>
      <c r="B36" s="2" t="n"/>
      <c r="C36" s="2" t="n"/>
      <c r="D36" s="24">
        <f>D33*365</f>
        <v/>
      </c>
      <c r="E36" s="24">
        <f>E33*365</f>
        <v/>
      </c>
      <c r="F36" s="24">
        <f>F33*365</f>
        <v/>
      </c>
      <c r="G36" s="24">
        <f>G33*365</f>
        <v/>
      </c>
      <c r="H36" s="24">
        <f>H33*365</f>
        <v/>
      </c>
      <c r="I36" s="24">
        <f>I33*365</f>
        <v/>
      </c>
      <c r="J36" s="24">
        <f>J33*365</f>
        <v/>
      </c>
      <c r="K36" s="24">
        <f>K33*365</f>
        <v/>
      </c>
      <c r="L36" s="24">
        <f>L33*365</f>
        <v/>
      </c>
      <c r="M36" s="24">
        <f>M33*365</f>
        <v/>
      </c>
    </row>
    <row r="37">
      <c r="A37" s="4" t="inlineStr">
        <is>
          <t>Revenue</t>
        </is>
      </c>
      <c r="B37" s="2" t="n"/>
      <c r="C37" s="2" t="n"/>
      <c r="D37" s="24">
        <f>D36*$C$21*(1+Inputs!$H$22)^(1-1)</f>
        <v/>
      </c>
      <c r="E37" s="24">
        <f>E36*$C$21*(1+Inputs!$H$22)^(2-1)</f>
        <v/>
      </c>
      <c r="F37" s="24">
        <f>F36*$C$21*(1+Inputs!$H$22)^(3-1)</f>
        <v/>
      </c>
      <c r="G37" s="24">
        <f>G36*$C$21*(1+Inputs!$H$22)^(4-1)</f>
        <v/>
      </c>
      <c r="H37" s="24">
        <f>H36*$C$21*(1+Inputs!$H$22)^(5-1)</f>
        <v/>
      </c>
      <c r="I37" s="24">
        <f>I36*$C$21*(1+Inputs!$H$22)^(6-1)</f>
        <v/>
      </c>
      <c r="J37" s="24">
        <f>J36*$C$21*(1+Inputs!$H$22)^(7-1)</f>
        <v/>
      </c>
      <c r="K37" s="24">
        <f>K36*$C$21*(1+Inputs!$H$22)^(8-1)</f>
        <v/>
      </c>
      <c r="L37" s="24">
        <f>L36*$C$21*(1+Inputs!$H$22)^(9-1)</f>
        <v/>
      </c>
      <c r="M37" s="24">
        <f>M36*$C$21*(1+Inputs!$H$22)^(10-1)</f>
        <v/>
      </c>
    </row>
    <row r="38">
      <c r="A38" s="5" t="inlineStr">
        <is>
          <t>Electricity cost</t>
        </is>
      </c>
      <c r="B38" s="2" t="n"/>
      <c r="C38" s="2" t="n"/>
      <c r="D38" s="24">
        <f>(D36/(1-Inputs!$H$26)*$C$22+$C$23*12)*(1+Inputs!$H$25)^(1-1)</f>
        <v/>
      </c>
      <c r="E38" s="24">
        <f>(E36/(1-Inputs!$H$26)*$C$22+$C$23*12)*(1+Inputs!$H$25)^(2-1)</f>
        <v/>
      </c>
      <c r="F38" s="24">
        <f>(F36/(1-Inputs!$H$26)*$C$22+$C$23*12)*(1+Inputs!$H$25)^(3-1)</f>
        <v/>
      </c>
      <c r="G38" s="24">
        <f>(G36/(1-Inputs!$H$26)*$C$22+$C$23*12)*(1+Inputs!$H$25)^(4-1)</f>
        <v/>
      </c>
      <c r="H38" s="24">
        <f>(H36/(1-Inputs!$H$26)*$C$22+$C$23*12)*(1+Inputs!$H$25)^(5-1)</f>
        <v/>
      </c>
      <c r="I38" s="24">
        <f>(I36/(1-Inputs!$H$26)*$C$22+$C$23*12)*(1+Inputs!$H$25)^(6-1)</f>
        <v/>
      </c>
      <c r="J38" s="24">
        <f>(J36/(1-Inputs!$H$26)*$C$22+$C$23*12)*(1+Inputs!$H$25)^(7-1)</f>
        <v/>
      </c>
      <c r="K38" s="24">
        <f>(K36/(1-Inputs!$H$26)*$C$22+$C$23*12)*(1+Inputs!$H$25)^(8-1)</f>
        <v/>
      </c>
      <c r="L38" s="24">
        <f>(L36/(1-Inputs!$H$26)*$C$22+$C$23*12)*(1+Inputs!$H$25)^(9-1)</f>
        <v/>
      </c>
      <c r="M38" s="24">
        <f>(M36/(1-Inputs!$H$26)*$C$22+$C$23*12)*(1+Inputs!$H$25)^(10-1)</f>
        <v/>
      </c>
    </row>
    <row r="39">
      <c r="A39" s="5" t="inlineStr">
        <is>
          <t>Gross profit</t>
        </is>
      </c>
      <c r="B39" s="2" t="n"/>
      <c r="C39" s="2" t="n"/>
      <c r="D39" s="24">
        <f>D37-D38</f>
        <v/>
      </c>
      <c r="E39" s="24">
        <f>E37-E38</f>
        <v/>
      </c>
      <c r="F39" s="24">
        <f>F37-F38</f>
        <v/>
      </c>
      <c r="G39" s="24">
        <f>G37-G38</f>
        <v/>
      </c>
      <c r="H39" s="24">
        <f>H37-H38</f>
        <v/>
      </c>
      <c r="I39" s="24">
        <f>I37-I38</f>
        <v/>
      </c>
      <c r="J39" s="24">
        <f>J37-J38</f>
        <v/>
      </c>
      <c r="K39" s="24">
        <f>K37-K38</f>
        <v/>
      </c>
      <c r="L39" s="24">
        <f>L37-L38</f>
        <v/>
      </c>
      <c r="M39" s="24">
        <f>M37-M38</f>
        <v/>
      </c>
    </row>
    <row r="40">
      <c r="A40" s="5" t="inlineStr">
        <is>
          <t>Host revenue share</t>
        </is>
      </c>
      <c r="B40" s="2" t="n"/>
      <c r="C40" s="2" t="n"/>
      <c r="D40" s="24">
        <f>D37*$C$24</f>
        <v/>
      </c>
      <c r="E40" s="24">
        <f>E37*$C$24</f>
        <v/>
      </c>
      <c r="F40" s="24">
        <f>F37*$C$24</f>
        <v/>
      </c>
      <c r="G40" s="24">
        <f>G37*$C$24</f>
        <v/>
      </c>
      <c r="H40" s="24">
        <f>H37*$C$24</f>
        <v/>
      </c>
      <c r="I40" s="24">
        <f>I37*$C$24</f>
        <v/>
      </c>
      <c r="J40" s="24">
        <f>J37*$C$24</f>
        <v/>
      </c>
      <c r="K40" s="24">
        <f>K37*$C$24</f>
        <v/>
      </c>
      <c r="L40" s="24">
        <f>L37*$C$24</f>
        <v/>
      </c>
      <c r="M40" s="24">
        <f>M37*$C$24</f>
        <v/>
      </c>
    </row>
    <row r="41">
      <c r="A41" s="5" t="inlineStr">
        <is>
          <t>Staff</t>
        </is>
      </c>
      <c r="B41" s="2" t="n"/>
      <c r="C41" s="2" t="n"/>
      <c r="D41" s="24">
        <f>$C$25*Inputs!$H$29*12*(1+Inputs!$H$35)^(1-1)</f>
        <v/>
      </c>
      <c r="E41" s="24">
        <f>$C$25*Inputs!$H$29*12*(1+Inputs!$H$35)^(2-1)</f>
        <v/>
      </c>
      <c r="F41" s="24">
        <f>$C$25*Inputs!$H$29*12*(1+Inputs!$H$35)^(3-1)</f>
        <v/>
      </c>
      <c r="G41" s="24">
        <f>$C$25*Inputs!$H$29*12*(1+Inputs!$H$35)^(4-1)</f>
        <v/>
      </c>
      <c r="H41" s="24">
        <f>$C$25*Inputs!$H$29*12*(1+Inputs!$H$35)^(5-1)</f>
        <v/>
      </c>
      <c r="I41" s="24">
        <f>$C$25*Inputs!$H$29*12*(1+Inputs!$H$35)^(6-1)</f>
        <v/>
      </c>
      <c r="J41" s="24">
        <f>$C$25*Inputs!$H$29*12*(1+Inputs!$H$35)^(7-1)</f>
        <v/>
      </c>
      <c r="K41" s="24">
        <f>$C$25*Inputs!$H$29*12*(1+Inputs!$H$35)^(8-1)</f>
        <v/>
      </c>
      <c r="L41" s="24">
        <f>$C$25*Inputs!$H$29*12*(1+Inputs!$H$35)^(9-1)</f>
        <v/>
      </c>
      <c r="M41" s="24">
        <f>$C$25*Inputs!$H$29*12*(1+Inputs!$H$35)^(10-1)</f>
        <v/>
      </c>
    </row>
    <row r="42">
      <c r="A42" s="5" t="inlineStr">
        <is>
          <t>Maintenance</t>
        </is>
      </c>
      <c r="B42" s="2" t="n"/>
      <c r="C42" s="2" t="n"/>
      <c r="D42" s="24">
        <f>$C$11*Inputs!$H$30*(1+Inputs!$H$35)^(1-1)</f>
        <v/>
      </c>
      <c r="E42" s="24">
        <f>$C$11*Inputs!$H$30*(1+Inputs!$H$35)^(2-1)</f>
        <v/>
      </c>
      <c r="F42" s="24">
        <f>$C$11*Inputs!$H$30*(1+Inputs!$H$35)^(3-1)</f>
        <v/>
      </c>
      <c r="G42" s="24">
        <f>$C$11*Inputs!$H$30*(1+Inputs!$H$35)^(4-1)</f>
        <v/>
      </c>
      <c r="H42" s="24">
        <f>$C$11*Inputs!$H$30*(1+Inputs!$H$35)^(5-1)</f>
        <v/>
      </c>
      <c r="I42" s="24">
        <f>$C$11*Inputs!$H$30*(1+Inputs!$H$35)^(6-1)</f>
        <v/>
      </c>
      <c r="J42" s="24">
        <f>$C$11*Inputs!$H$30*(1+Inputs!$H$35)^(7-1)</f>
        <v/>
      </c>
      <c r="K42" s="24">
        <f>$C$11*Inputs!$H$30*(1+Inputs!$H$35)^(8-1)</f>
        <v/>
      </c>
      <c r="L42" s="24">
        <f>$C$11*Inputs!$H$30*(1+Inputs!$H$35)^(9-1)</f>
        <v/>
      </c>
      <c r="M42" s="24">
        <f>$C$11*Inputs!$H$30*(1+Inputs!$H$35)^(10-1)</f>
        <v/>
      </c>
    </row>
    <row r="43">
      <c r="A43" s="5" t="inlineStr">
        <is>
          <t>Software / CMS</t>
        </is>
      </c>
      <c r="B43" s="2" t="n"/>
      <c r="C43" s="2" t="n"/>
      <c r="D43" s="24">
        <f>$C$8*Inputs!$H$31*12*(1+Inputs!$H$35)^(1-1)</f>
        <v/>
      </c>
      <c r="E43" s="24">
        <f>$C$8*Inputs!$H$31*12*(1+Inputs!$H$35)^(2-1)</f>
        <v/>
      </c>
      <c r="F43" s="24">
        <f>$C$8*Inputs!$H$31*12*(1+Inputs!$H$35)^(3-1)</f>
        <v/>
      </c>
      <c r="G43" s="24">
        <f>$C$8*Inputs!$H$31*12*(1+Inputs!$H$35)^(4-1)</f>
        <v/>
      </c>
      <c r="H43" s="24">
        <f>$C$8*Inputs!$H$31*12*(1+Inputs!$H$35)^(5-1)</f>
        <v/>
      </c>
      <c r="I43" s="24">
        <f>$C$8*Inputs!$H$31*12*(1+Inputs!$H$35)^(6-1)</f>
        <v/>
      </c>
      <c r="J43" s="24">
        <f>$C$8*Inputs!$H$31*12*(1+Inputs!$H$35)^(7-1)</f>
        <v/>
      </c>
      <c r="K43" s="24">
        <f>$C$8*Inputs!$H$31*12*(1+Inputs!$H$35)^(8-1)</f>
        <v/>
      </c>
      <c r="L43" s="24">
        <f>$C$8*Inputs!$H$31*12*(1+Inputs!$H$35)^(9-1)</f>
        <v/>
      </c>
      <c r="M43" s="24">
        <f>$C$8*Inputs!$H$31*12*(1+Inputs!$H$35)^(10-1)</f>
        <v/>
      </c>
    </row>
    <row r="44">
      <c r="A44" s="5" t="inlineStr">
        <is>
          <t>Payment fees</t>
        </is>
      </c>
      <c r="B44" s="2" t="n"/>
      <c r="C44" s="2" t="n"/>
      <c r="D44" s="24">
        <f>D37*Inputs!$H$32</f>
        <v/>
      </c>
      <c r="E44" s="24">
        <f>E37*Inputs!$H$32</f>
        <v/>
      </c>
      <c r="F44" s="24">
        <f>F37*Inputs!$H$32</f>
        <v/>
      </c>
      <c r="G44" s="24">
        <f>G37*Inputs!$H$32</f>
        <v/>
      </c>
      <c r="H44" s="24">
        <f>H37*Inputs!$H$32</f>
        <v/>
      </c>
      <c r="I44" s="24">
        <f>I37*Inputs!$H$32</f>
        <v/>
      </c>
      <c r="J44" s="24">
        <f>J37*Inputs!$H$32</f>
        <v/>
      </c>
      <c r="K44" s="24">
        <f>K37*Inputs!$H$32</f>
        <v/>
      </c>
      <c r="L44" s="24">
        <f>L37*Inputs!$H$32</f>
        <v/>
      </c>
      <c r="M44" s="24">
        <f>M37*Inputs!$H$32</f>
        <v/>
      </c>
    </row>
    <row r="45">
      <c r="A45" s="5" t="inlineStr">
        <is>
          <t>Insurance</t>
        </is>
      </c>
      <c r="B45" s="2" t="n"/>
      <c r="C45" s="2" t="n"/>
      <c r="D45" s="24">
        <f>$C$16*Inputs!$H$33*(1+Inputs!$H$35)^(1-1)</f>
        <v/>
      </c>
      <c r="E45" s="24">
        <f>$C$16*Inputs!$H$33*(1+Inputs!$H$35)^(2-1)</f>
        <v/>
      </c>
      <c r="F45" s="24">
        <f>$C$16*Inputs!$H$33*(1+Inputs!$H$35)^(3-1)</f>
        <v/>
      </c>
      <c r="G45" s="24">
        <f>$C$16*Inputs!$H$33*(1+Inputs!$H$35)^(4-1)</f>
        <v/>
      </c>
      <c r="H45" s="24">
        <f>$C$16*Inputs!$H$33*(1+Inputs!$H$35)^(5-1)</f>
        <v/>
      </c>
      <c r="I45" s="24">
        <f>$C$16*Inputs!$H$33*(1+Inputs!$H$35)^(6-1)</f>
        <v/>
      </c>
      <c r="J45" s="24">
        <f>$C$16*Inputs!$H$33*(1+Inputs!$H$35)^(7-1)</f>
        <v/>
      </c>
      <c r="K45" s="24">
        <f>$C$16*Inputs!$H$33*(1+Inputs!$H$35)^(8-1)</f>
        <v/>
      </c>
      <c r="L45" s="24">
        <f>$C$16*Inputs!$H$33*(1+Inputs!$H$35)^(9-1)</f>
        <v/>
      </c>
      <c r="M45" s="24">
        <f>$C$16*Inputs!$H$33*(1+Inputs!$H$35)^(10-1)</f>
        <v/>
      </c>
    </row>
    <row r="46">
      <c r="A46" s="5" t="inlineStr">
        <is>
          <t>Misc (internet, cleaning, admin)</t>
        </is>
      </c>
      <c r="B46" s="2" t="n"/>
      <c r="C46" s="2" t="n"/>
      <c r="D46" s="24">
        <f>Inputs!$H$34*12*(1+Inputs!$H$35)^(1-1)</f>
        <v/>
      </c>
      <c r="E46" s="24">
        <f>Inputs!$H$34*12*(1+Inputs!$H$35)^(2-1)</f>
        <v/>
      </c>
      <c r="F46" s="24">
        <f>Inputs!$H$34*12*(1+Inputs!$H$35)^(3-1)</f>
        <v/>
      </c>
      <c r="G46" s="24">
        <f>Inputs!$H$34*12*(1+Inputs!$H$35)^(4-1)</f>
        <v/>
      </c>
      <c r="H46" s="24">
        <f>Inputs!$H$34*12*(1+Inputs!$H$35)^(5-1)</f>
        <v/>
      </c>
      <c r="I46" s="24">
        <f>Inputs!$H$34*12*(1+Inputs!$H$35)^(6-1)</f>
        <v/>
      </c>
      <c r="J46" s="24">
        <f>Inputs!$H$34*12*(1+Inputs!$H$35)^(7-1)</f>
        <v/>
      </c>
      <c r="K46" s="24">
        <f>Inputs!$H$34*12*(1+Inputs!$H$35)^(8-1)</f>
        <v/>
      </c>
      <c r="L46" s="24">
        <f>Inputs!$H$34*12*(1+Inputs!$H$35)^(9-1)</f>
        <v/>
      </c>
      <c r="M46" s="24">
        <f>Inputs!$H$34*12*(1+Inputs!$H$35)^(10-1)</f>
        <v/>
      </c>
    </row>
    <row r="47">
      <c r="A47" s="5" t="inlineStr">
        <is>
          <t>Opex excl. electricity</t>
        </is>
      </c>
      <c r="B47" s="2" t="n"/>
      <c r="C47" s="2" t="n"/>
      <c r="D47" s="24">
        <f>SUM(D40:D46)</f>
        <v/>
      </c>
      <c r="E47" s="24">
        <f>SUM(E40:E46)</f>
        <v/>
      </c>
      <c r="F47" s="24">
        <f>SUM(F40:F46)</f>
        <v/>
      </c>
      <c r="G47" s="24">
        <f>SUM(G40:G46)</f>
        <v/>
      </c>
      <c r="H47" s="24">
        <f>SUM(H40:H46)</f>
        <v/>
      </c>
      <c r="I47" s="24">
        <f>SUM(I40:I46)</f>
        <v/>
      </c>
      <c r="J47" s="24">
        <f>SUM(J40:J46)</f>
        <v/>
      </c>
      <c r="K47" s="24">
        <f>SUM(K40:K46)</f>
        <v/>
      </c>
      <c r="L47" s="24">
        <f>SUM(L40:L46)</f>
        <v/>
      </c>
      <c r="M47" s="24">
        <f>SUM(M40:M46)</f>
        <v/>
      </c>
    </row>
    <row r="48">
      <c r="A48" s="4" t="inlineStr">
        <is>
          <t>EBITDA</t>
        </is>
      </c>
      <c r="B48" s="2" t="n"/>
      <c r="C48" s="2" t="n"/>
      <c r="D48" s="24">
        <f>D39-D47</f>
        <v/>
      </c>
      <c r="E48" s="24">
        <f>E39-E47</f>
        <v/>
      </c>
      <c r="F48" s="24">
        <f>F39-F47</f>
        <v/>
      </c>
      <c r="G48" s="24">
        <f>G39-G47</f>
        <v/>
      </c>
      <c r="H48" s="24">
        <f>H39-H47</f>
        <v/>
      </c>
      <c r="I48" s="24">
        <f>I39-I47</f>
        <v/>
      </c>
      <c r="J48" s="24">
        <f>J39-J47</f>
        <v/>
      </c>
      <c r="K48" s="24">
        <f>K39-K47</f>
        <v/>
      </c>
      <c r="L48" s="24">
        <f>L39-L47</f>
        <v/>
      </c>
      <c r="M48" s="24">
        <f>M39-M47</f>
        <v/>
      </c>
    </row>
    <row r="49">
      <c r="A49" s="5" t="inlineStr">
        <is>
          <t>EBITDA margin</t>
        </is>
      </c>
      <c r="B49" s="2" t="n"/>
      <c r="C49" s="2" t="n"/>
      <c r="D49" s="28">
        <f>IFERROR(D48/D37,0)</f>
        <v/>
      </c>
      <c r="E49" s="28">
        <f>IFERROR(E48/E37,0)</f>
        <v/>
      </c>
      <c r="F49" s="28">
        <f>IFERROR(F48/F37,0)</f>
        <v/>
      </c>
      <c r="G49" s="28">
        <f>IFERROR(G48/G37,0)</f>
        <v/>
      </c>
      <c r="H49" s="28">
        <f>IFERROR(H48/H37,0)</f>
        <v/>
      </c>
      <c r="I49" s="28">
        <f>IFERROR(I48/I37,0)</f>
        <v/>
      </c>
      <c r="J49" s="28">
        <f>IFERROR(J48/J37,0)</f>
        <v/>
      </c>
      <c r="K49" s="28">
        <f>IFERROR(K48/K37,0)</f>
        <v/>
      </c>
      <c r="L49" s="28">
        <f>IFERROR(L48/L37,0)</f>
        <v/>
      </c>
      <c r="M49" s="28">
        <f>IFERROR(M48/M37,0)</f>
        <v/>
      </c>
    </row>
    <row r="50">
      <c r="A50" s="5" t="inlineStr">
        <is>
          <t>Depreciation</t>
        </is>
      </c>
      <c r="B50" s="2" t="n"/>
      <c r="C50" s="2" t="n"/>
      <c r="D50" s="24">
        <f>$C$27</f>
        <v/>
      </c>
      <c r="E50" s="24">
        <f>$C$27</f>
        <v/>
      </c>
      <c r="F50" s="24">
        <f>$C$27</f>
        <v/>
      </c>
      <c r="G50" s="24">
        <f>$C$27</f>
        <v/>
      </c>
      <c r="H50" s="24">
        <f>$C$27</f>
        <v/>
      </c>
      <c r="I50" s="24">
        <f>$C$27</f>
        <v/>
      </c>
      <c r="J50" s="24">
        <f>$C$27</f>
        <v/>
      </c>
      <c r="K50" s="24">
        <f>$C$27</f>
        <v/>
      </c>
      <c r="L50" s="24">
        <f>$C$27</f>
        <v/>
      </c>
      <c r="M50" s="24">
        <f>$C$27</f>
        <v/>
      </c>
    </row>
    <row r="51">
      <c r="A51" s="5" t="inlineStr">
        <is>
          <t>EBIT</t>
        </is>
      </c>
      <c r="B51" s="2" t="n"/>
      <c r="C51" s="2" t="n"/>
      <c r="D51" s="24">
        <f>D48-D50</f>
        <v/>
      </c>
      <c r="E51" s="24">
        <f>E48-E50</f>
        <v/>
      </c>
      <c r="F51" s="24">
        <f>F48-F50</f>
        <v/>
      </c>
      <c r="G51" s="24">
        <f>G48-G50</f>
        <v/>
      </c>
      <c r="H51" s="24">
        <f>H48-H50</f>
        <v/>
      </c>
      <c r="I51" s="24">
        <f>I48-I50</f>
        <v/>
      </c>
      <c r="J51" s="24">
        <f>J48-J50</f>
        <v/>
      </c>
      <c r="K51" s="24">
        <f>K48-K50</f>
        <v/>
      </c>
      <c r="L51" s="24">
        <f>L48-L50</f>
        <v/>
      </c>
      <c r="M51" s="24">
        <f>M48-M50</f>
        <v/>
      </c>
    </row>
    <row r="52">
      <c r="A52" s="5" t="inlineStr">
        <is>
          <t>Tax losses brought forward</t>
        </is>
      </c>
      <c r="B52" s="2" t="n"/>
      <c r="C52" s="2" t="n"/>
      <c r="D52" s="24">
        <f>0</f>
        <v/>
      </c>
      <c r="E52" s="24">
        <f>D52+MAX(0,-D51)-D53</f>
        <v/>
      </c>
      <c r="F52" s="24">
        <f>E52+MAX(0,-E51)-E53</f>
        <v/>
      </c>
      <c r="G52" s="24">
        <f>F52+MAX(0,-F51)-F53</f>
        <v/>
      </c>
      <c r="H52" s="24">
        <f>G52+MAX(0,-G51)-G53</f>
        <v/>
      </c>
      <c r="I52" s="24">
        <f>H52+MAX(0,-H51)-H53</f>
        <v/>
      </c>
      <c r="J52" s="24">
        <f>I52+MAX(0,-I51)-I53</f>
        <v/>
      </c>
      <c r="K52" s="24">
        <f>J52+MAX(0,-J51)-J53</f>
        <v/>
      </c>
      <c r="L52" s="24">
        <f>K52+MAX(0,-K51)-K53</f>
        <v/>
      </c>
      <c r="M52" s="24">
        <f>L52+MAX(0,-L51)-L53</f>
        <v/>
      </c>
    </row>
    <row r="53">
      <c r="A53" s="5" t="inlineStr">
        <is>
          <t>Tax losses used</t>
        </is>
      </c>
      <c r="B53" s="2" t="n"/>
      <c r="C53" s="2" t="n"/>
      <c r="D53" s="24">
        <f>MIN(D52,MAX(0,D51))</f>
        <v/>
      </c>
      <c r="E53" s="24">
        <f>MIN(E52,MAX(0,E51))</f>
        <v/>
      </c>
      <c r="F53" s="24">
        <f>MIN(F52,MAX(0,F51))</f>
        <v/>
      </c>
      <c r="G53" s="24">
        <f>MIN(G52,MAX(0,G51))</f>
        <v/>
      </c>
      <c r="H53" s="24">
        <f>MIN(H52,MAX(0,H51))</f>
        <v/>
      </c>
      <c r="I53" s="24">
        <f>MIN(I52,MAX(0,I51))</f>
        <v/>
      </c>
      <c r="J53" s="24">
        <f>MIN(J52,MAX(0,J51))</f>
        <v/>
      </c>
      <c r="K53" s="24">
        <f>MIN(K52,MAX(0,K51))</f>
        <v/>
      </c>
      <c r="L53" s="24">
        <f>MIN(L52,MAX(0,L51))</f>
        <v/>
      </c>
      <c r="M53" s="24">
        <f>MIN(M52,MAX(0,M51))</f>
        <v/>
      </c>
    </row>
    <row r="54">
      <c r="A54" s="5" t="inlineStr">
        <is>
          <t>Tax</t>
        </is>
      </c>
      <c r="B54" s="2" t="n"/>
      <c r="C54" s="2" t="n"/>
      <c r="D54" s="24">
        <f>MAX(0,D51-D53)*Inputs!$H$41</f>
        <v/>
      </c>
      <c r="E54" s="24">
        <f>MAX(0,E51-E53)*Inputs!$H$41</f>
        <v/>
      </c>
      <c r="F54" s="24">
        <f>MAX(0,F51-F53)*Inputs!$H$41</f>
        <v/>
      </c>
      <c r="G54" s="24">
        <f>MAX(0,G51-G53)*Inputs!$H$41</f>
        <v/>
      </c>
      <c r="H54" s="24">
        <f>MAX(0,H51-H53)*Inputs!$H$41</f>
        <v/>
      </c>
      <c r="I54" s="24">
        <f>MAX(0,I51-I53)*Inputs!$H$41</f>
        <v/>
      </c>
      <c r="J54" s="24">
        <f>MAX(0,J51-J53)*Inputs!$H$41</f>
        <v/>
      </c>
      <c r="K54" s="24">
        <f>MAX(0,K51-K53)*Inputs!$H$41</f>
        <v/>
      </c>
      <c r="L54" s="24">
        <f>MAX(0,L51-L53)*Inputs!$H$41</f>
        <v/>
      </c>
      <c r="M54" s="24">
        <f>MAX(0,M51-M53)*Inputs!$H$41</f>
        <v/>
      </c>
    </row>
    <row r="55">
      <c r="A55" s="5" t="inlineStr">
        <is>
          <t>Free cash flow (EBITDA - tax)</t>
        </is>
      </c>
      <c r="B55" s="2" t="n"/>
      <c r="C55" s="2" t="n"/>
      <c r="D55" s="24">
        <f>D48-D54</f>
        <v/>
      </c>
      <c r="E55" s="24">
        <f>E48-E54</f>
        <v/>
      </c>
      <c r="F55" s="24">
        <f>F48-F54</f>
        <v/>
      </c>
      <c r="G55" s="24">
        <f>G48-G54</f>
        <v/>
      </c>
      <c r="H55" s="24">
        <f>H48-H54</f>
        <v/>
      </c>
      <c r="I55" s="24">
        <f>I48-I54</f>
        <v/>
      </c>
      <c r="J55" s="24">
        <f>J48-J54</f>
        <v/>
      </c>
      <c r="K55" s="24">
        <f>K48-K54</f>
        <v/>
      </c>
      <c r="L55" s="24">
        <f>L48-L54</f>
        <v/>
      </c>
      <c r="M55" s="24">
        <f>M48-M54</f>
        <v/>
      </c>
    </row>
    <row r="56">
      <c r="A56" s="5" t="inlineStr">
        <is>
          <t>CAPEX + working capital</t>
        </is>
      </c>
      <c r="B56" s="2" t="n"/>
      <c r="C56" s="30">
        <f>-($C$16+(D38+D47)/12)</f>
        <v/>
      </c>
      <c r="D56" s="24">
        <f>0</f>
        <v/>
      </c>
      <c r="E56" s="24">
        <f>0</f>
        <v/>
      </c>
      <c r="F56" s="24">
        <f>0</f>
        <v/>
      </c>
      <c r="G56" s="24">
        <f>0</f>
        <v/>
      </c>
      <c r="H56" s="24">
        <f>0</f>
        <v/>
      </c>
      <c r="I56" s="24">
        <f>0</f>
        <v/>
      </c>
      <c r="J56" s="24">
        <f>0</f>
        <v/>
      </c>
      <c r="K56" s="24">
        <f>0</f>
        <v/>
      </c>
      <c r="L56" s="24">
        <f>0</f>
        <v/>
      </c>
      <c r="M56" s="24">
        <f>-C56-$C$16</f>
        <v/>
      </c>
    </row>
    <row r="57">
      <c r="A57" s="4" t="inlineStr">
        <is>
          <t>Net cash flow</t>
        </is>
      </c>
      <c r="B57" s="2" t="n"/>
      <c r="C57" s="30">
        <f>C56</f>
        <v/>
      </c>
      <c r="D57" s="24">
        <f>D55+D56</f>
        <v/>
      </c>
      <c r="E57" s="24">
        <f>E55+E56</f>
        <v/>
      </c>
      <c r="F57" s="24">
        <f>F55+F56</f>
        <v/>
      </c>
      <c r="G57" s="24">
        <f>G55+G56</f>
        <v/>
      </c>
      <c r="H57" s="24">
        <f>H55+H56</f>
        <v/>
      </c>
      <c r="I57" s="24">
        <f>I55+I56</f>
        <v/>
      </c>
      <c r="J57" s="24">
        <f>J55+J56</f>
        <v/>
      </c>
      <c r="K57" s="24">
        <f>K55+K56</f>
        <v/>
      </c>
      <c r="L57" s="24">
        <f>L55+L56</f>
        <v/>
      </c>
      <c r="M57" s="24">
        <f>M55+M56</f>
        <v/>
      </c>
    </row>
    <row r="58">
      <c r="A58" s="5" t="inlineStr">
        <is>
          <t>Cumulative cash flow</t>
        </is>
      </c>
      <c r="B58" s="2" t="n"/>
      <c r="C58" s="30">
        <f>C57</f>
        <v/>
      </c>
      <c r="D58" s="24">
        <f>C58+D57</f>
        <v/>
      </c>
      <c r="E58" s="24">
        <f>D58+E57</f>
        <v/>
      </c>
      <c r="F58" s="24">
        <f>E58+F57</f>
        <v/>
      </c>
      <c r="G58" s="24">
        <f>F58+G57</f>
        <v/>
      </c>
      <c r="H58" s="24">
        <f>G58+H57</f>
        <v/>
      </c>
      <c r="I58" s="24">
        <f>H58+I57</f>
        <v/>
      </c>
      <c r="J58" s="24">
        <f>I58+J57</f>
        <v/>
      </c>
      <c r="K58" s="24">
        <f>J58+K57</f>
        <v/>
      </c>
      <c r="L58" s="24">
        <f>K58+L57</f>
        <v/>
      </c>
      <c r="M58" s="24">
        <f>L58+M57</f>
        <v/>
      </c>
    </row>
    <row r="59">
      <c r="A59" s="5" t="inlineStr">
        <is>
          <t>Payback helper</t>
        </is>
      </c>
      <c r="B59" s="2" t="n"/>
      <c r="C59" s="2" t="n"/>
      <c r="D59" s="24">
        <f>IF(AND(C58&lt;0,D58&gt;=0),1-1-C58/D57,"")</f>
        <v/>
      </c>
      <c r="E59" s="24">
        <f>IF(AND(D58&lt;0,E58&gt;=0),2-1-D58/E57,"")</f>
        <v/>
      </c>
      <c r="F59" s="24">
        <f>IF(AND(E58&lt;0,F58&gt;=0),3-1-E58/F57,"")</f>
        <v/>
      </c>
      <c r="G59" s="24">
        <f>IF(AND(F58&lt;0,G58&gt;=0),4-1-F58/G57,"")</f>
        <v/>
      </c>
      <c r="H59" s="24">
        <f>IF(AND(G58&lt;0,H58&gt;=0),5-1-G58/H57,"")</f>
        <v/>
      </c>
      <c r="I59" s="24">
        <f>IF(AND(H58&lt;0,I58&gt;=0),6-1-H58/I57,"")</f>
        <v/>
      </c>
      <c r="J59" s="24">
        <f>IF(AND(I58&lt;0,J58&gt;=0),7-1-I58/J57,"")</f>
        <v/>
      </c>
      <c r="K59" s="24">
        <f>IF(AND(J58&lt;0,K58&gt;=0),8-1-J58/K57,"")</f>
        <v/>
      </c>
      <c r="L59" s="24">
        <f>IF(AND(K58&lt;0,L58&gt;=0),9-1-K58/L57,"")</f>
        <v/>
      </c>
      <c r="M59" s="24">
        <f>IF(AND(L58&lt;0,M58&gt;=0),10-1-L58/M57,"")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4" t="inlineStr">
        <is>
          <t>OUTPUTS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4" t="inlineStr">
        <is>
          <t>NPV (Rs)</t>
        </is>
      </c>
      <c r="B62" s="2" t="n"/>
      <c r="C62" s="31">
        <f>NPV($C$26,D57:M57)+C57</f>
        <v/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4" t="inlineStr">
        <is>
          <t>IRR</t>
        </is>
      </c>
      <c r="B63" s="2" t="n"/>
      <c r="C63" s="32">
        <f>IF(SUM(C57:M57)&lt;0,"n/a (never recovers)",IFERROR(IRR(C57:M57,0.1),"n/a"))</f>
        <v/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4" t="inlineStr">
        <is>
          <t>Payback (years)</t>
        </is>
      </c>
      <c r="B64" s="2" t="n"/>
      <c r="C64" s="33">
        <f>IF(COUNT(D59:M59)=0,"Not within 10 years",MIN(D59:M59))</f>
        <v/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5" t="inlineStr">
        <is>
          <t>Year-1 utilisation</t>
        </is>
      </c>
      <c r="B65" s="2" t="n"/>
      <c r="C65" s="28">
        <f>D35</f>
        <v/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5" t="inlineStr">
        <is>
          <t>Year-5 utilisation</t>
        </is>
      </c>
      <c r="B66" s="2" t="n"/>
      <c r="C66" s="28">
        <f>H35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5" t="inlineStr">
        <is>
          <t>Year-1 revenue (Rs)</t>
        </is>
      </c>
      <c r="B67" s="2" t="n"/>
      <c r="C67" s="24">
        <f>D37</f>
        <v/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5" t="inlineStr">
        <is>
          <t>Year-1 EBITDA (Rs)</t>
        </is>
      </c>
      <c r="B68" s="2" t="n"/>
      <c r="C68" s="24">
        <f>D48</f>
        <v/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 t="inlineStr">
        <is>
          <t>Year-5 EBITDA (Rs)</t>
        </is>
      </c>
      <c r="B69" s="2" t="n"/>
      <c r="C69" s="24">
        <f>H48</f>
        <v/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5" t="inlineStr">
        <is>
          <t>Year-5 EBITDA margin</t>
        </is>
      </c>
      <c r="B70" s="2" t="n"/>
      <c r="C70" s="28">
        <f>H49</f>
        <v/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5" t="inlineStr">
        <is>
          <t>Contribution per kWh, year 1 (Rs)</t>
        </is>
      </c>
      <c r="B71" s="2" t="n"/>
      <c r="C71" s="27">
        <f>$C$21*(1-$C$24-Inputs!$H$32)-$C$22/(1-Inputs!$H$26)</f>
        <v/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5" t="inlineStr">
        <is>
          <t>Fixed costs, year 1 (Rs)</t>
        </is>
      </c>
      <c r="B72" s="2" t="n"/>
      <c r="C72" s="24">
        <f>D41+D42+D43+D45+D46+$C$23*12</f>
        <v/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5" t="inlineStr">
        <is>
          <t>EBITDA break-even, kWh/day</t>
        </is>
      </c>
      <c r="B73" s="2" t="n"/>
      <c r="C73" s="26">
        <f>IF(C71&gt;0,C72/C71/365,"n/a")</f>
        <v/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5" t="inlineStr">
        <is>
          <t>EBITDA break-even, sessions/day</t>
        </is>
      </c>
      <c r="B74" s="2" t="n"/>
      <c r="C74" s="26">
        <f>IFERROR(C73/Inputs!$H$20,"n/a")</f>
        <v/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5" t="inlineStr">
        <is>
          <t>EBITDA break-even, utilisation</t>
        </is>
      </c>
      <c r="B75" s="2" t="n"/>
      <c r="C75" s="28">
        <f>IFERROR(C73/$C$18,"n/a")</f>
        <v/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2026-09-24T14:28:43Z</dcterms:created>
  <dcterms:modified xsi:type="dcterms:W3CDTF">2026-09-24T14:28:43Z</dcterms:modified>
</cp:coreProperties>
</file>